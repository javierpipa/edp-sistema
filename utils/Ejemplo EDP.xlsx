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henr\OneDrive\Escritorio\"/>
    </mc:Choice>
  </mc:AlternateContent>
  <xr:revisionPtr revIDLastSave="0" documentId="8_{CC8A7FE0-AE98-4B22-8E03-BB090B9BE06E}" xr6:coauthVersionLast="47" xr6:coauthVersionMax="47" xr10:uidLastSave="{00000000-0000-0000-0000-000000000000}"/>
  <bookViews>
    <workbookView xWindow="28680" yWindow="-120" windowWidth="29040" windowHeight="15720" tabRatio="867" activeTab="1" xr2:uid="{00000000-000D-0000-FFFF-FFFF00000000}"/>
  </bookViews>
  <sheets>
    <sheet name="PORTADA" sheetId="4" r:id="rId1"/>
    <sheet name="CARATULA EP " sheetId="1" r:id="rId2"/>
    <sheet name="EDP 001" sheetId="30" r:id="rId3"/>
    <sheet name="Cuadro Control" sheetId="10" state="hidden" r:id="rId4"/>
    <sheet name="NOC-1" sheetId="60" state="hidden" r:id="rId5"/>
  </sheets>
  <externalReferences>
    <externalReference r:id="rId6"/>
    <externalReference r:id="rId7"/>
    <externalReference r:id="rId8"/>
  </externalReferences>
  <definedNames>
    <definedName name="AcumReaj">[1]Reajustes!$N$5:$S$59</definedName>
    <definedName name="_xlnm.Print_Area" localSheetId="1">'CARATULA EP '!$A$4:$L$75</definedName>
    <definedName name="_xlnm.Print_Area" localSheetId="2">'EDP 001'!$A$1:$U$67</definedName>
    <definedName name="_xlnm.Print_Area" localSheetId="4">'NOC-1'!$A$1:$M$38</definedName>
    <definedName name="_xlnm.Print_Area" localSheetId="0">PORTADA!$A$1:$L$44</definedName>
    <definedName name="AvAcum">'[1]Avances Acumulados'!$A$8:$BI$210</definedName>
    <definedName name="Descuentos" localSheetId="2">'CARATULA EP '!#REF!</definedName>
    <definedName name="Descuentos">'CARATULA EP '!#REF!</definedName>
    <definedName name="EP" localSheetId="2">'CARATULA EP '!#REF!</definedName>
    <definedName name="EP">'CARATULA EP '!#REF!</definedName>
    <definedName name="Periodo" localSheetId="2">'CARATULA EP '!#REF!</definedName>
    <definedName name="Periodo">'CARATULA EP '!#REF!</definedName>
    <definedName name="Retenciones">[1]Retenciones!$A$4:$G$193</definedName>
  </definedNames>
  <calcPr calcId="181029"/>
</workbook>
</file>

<file path=xl/calcChain.xml><?xml version="1.0" encoding="utf-8"?>
<calcChain xmlns="http://schemas.openxmlformats.org/spreadsheetml/2006/main">
  <c r="T42" i="30" l="1"/>
  <c r="T31" i="30"/>
  <c r="T32" i="30"/>
  <c r="T33" i="30"/>
  <c r="T34" i="30"/>
  <c r="T35" i="30"/>
  <c r="T36" i="30"/>
  <c r="T37" i="30"/>
  <c r="T30" i="30"/>
  <c r="T28" i="30"/>
  <c r="T24" i="30"/>
  <c r="T25" i="30"/>
  <c r="V26" i="30"/>
  <c r="V27" i="30"/>
  <c r="V28" i="30"/>
  <c r="V29" i="30"/>
  <c r="V30" i="30"/>
  <c r="V31" i="30"/>
  <c r="V32" i="30"/>
  <c r="V33" i="30"/>
  <c r="V34" i="30"/>
  <c r="V35" i="30"/>
  <c r="V36" i="30"/>
  <c r="V37" i="30"/>
  <c r="V38" i="30"/>
  <c r="V39" i="30"/>
  <c r="V40" i="30"/>
  <c r="V41" i="30"/>
  <c r="V42" i="30"/>
  <c r="V43" i="30"/>
  <c r="V44" i="30"/>
  <c r="V45" i="30"/>
  <c r="V46" i="30"/>
  <c r="V24" i="30"/>
  <c r="V25" i="30"/>
  <c r="V23" i="30"/>
  <c r="T23" i="30"/>
  <c r="S42" i="30"/>
  <c r="R42" i="30"/>
  <c r="S34" i="30"/>
  <c r="R34" i="30"/>
  <c r="S32" i="30"/>
  <c r="R32" i="30"/>
  <c r="S31" i="30"/>
  <c r="R31" i="30"/>
  <c r="S25" i="30" l="1"/>
  <c r="R25" i="30"/>
  <c r="S23" i="30"/>
  <c r="R23" i="30"/>
  <c r="R35" i="30"/>
  <c r="K42" i="30"/>
  <c r="N42" i="30" s="1"/>
  <c r="J25" i="30"/>
  <c r="H31" i="30"/>
  <c r="J31" i="30" s="1"/>
  <c r="H32" i="30"/>
  <c r="J32" i="30" s="1"/>
  <c r="H35" i="30"/>
  <c r="H36" i="30"/>
  <c r="H25" i="30"/>
  <c r="I36" i="60"/>
  <c r="L34" i="60"/>
  <c r="K34" i="60"/>
  <c r="H34" i="60"/>
  <c r="M34" i="60" s="1"/>
  <c r="M33" i="60"/>
  <c r="L32" i="60"/>
  <c r="K32" i="60"/>
  <c r="M32" i="60" s="1"/>
  <c r="H32" i="60"/>
  <c r="M31" i="60"/>
  <c r="M30" i="60"/>
  <c r="L30" i="60"/>
  <c r="H42" i="30" s="1"/>
  <c r="J42" i="30" s="1"/>
  <c r="K30" i="60"/>
  <c r="H30" i="60"/>
  <c r="E30" i="60"/>
  <c r="M29" i="60"/>
  <c r="L28" i="60"/>
  <c r="K28" i="60"/>
  <c r="H28" i="60"/>
  <c r="M28" i="60" s="1"/>
  <c r="L27" i="60"/>
  <c r="K27" i="60"/>
  <c r="H27" i="60"/>
  <c r="M27" i="60" s="1"/>
  <c r="M26" i="60"/>
  <c r="M25" i="60"/>
  <c r="L25" i="60"/>
  <c r="H37" i="30" s="1"/>
  <c r="K25" i="60"/>
  <c r="H25" i="60"/>
  <c r="M24" i="60"/>
  <c r="L24" i="60"/>
  <c r="K24" i="60"/>
  <c r="H24" i="60"/>
  <c r="M23" i="60"/>
  <c r="L23" i="60"/>
  <c r="K23" i="60"/>
  <c r="H23" i="60"/>
  <c r="M22" i="60"/>
  <c r="L22" i="60"/>
  <c r="H34" i="30" s="1"/>
  <c r="J34" i="30" s="1"/>
  <c r="K22" i="60"/>
  <c r="H22" i="60"/>
  <c r="M21" i="60"/>
  <c r="L21" i="60"/>
  <c r="H33" i="30" s="1"/>
  <c r="K21" i="60"/>
  <c r="H21" i="60"/>
  <c r="M20" i="60"/>
  <c r="L20" i="60"/>
  <c r="K20" i="60"/>
  <c r="H20" i="60"/>
  <c r="M19" i="60"/>
  <c r="L19" i="60"/>
  <c r="K19" i="60"/>
  <c r="H19" i="60"/>
  <c r="M18" i="60"/>
  <c r="L18" i="60"/>
  <c r="H30" i="30" s="1"/>
  <c r="K18" i="60"/>
  <c r="H18" i="60"/>
  <c r="M17" i="60"/>
  <c r="L16" i="60"/>
  <c r="K16" i="60"/>
  <c r="H16" i="60"/>
  <c r="M16" i="60" s="1"/>
  <c r="L15" i="60"/>
  <c r="K15" i="60"/>
  <c r="H15" i="60"/>
  <c r="M15" i="60" s="1"/>
  <c r="M14" i="60"/>
  <c r="L13" i="60"/>
  <c r="K13" i="60"/>
  <c r="H13" i="60"/>
  <c r="M13" i="60" s="1"/>
  <c r="L12" i="60"/>
  <c r="K12" i="60"/>
  <c r="H12" i="60"/>
  <c r="M12" i="60" s="1"/>
  <c r="J11" i="60"/>
  <c r="K11" i="60" s="1"/>
  <c r="K36" i="60" s="1"/>
  <c r="H11" i="60"/>
  <c r="J31" i="1" l="1"/>
  <c r="H36" i="60"/>
  <c r="N36" i="60" s="1"/>
  <c r="L11" i="60"/>
  <c r="H23" i="30" s="1"/>
  <c r="J23" i="30" s="1"/>
  <c r="J47" i="30" s="1"/>
  <c r="M11" i="60"/>
  <c r="M36" i="60" s="1"/>
  <c r="P34" i="30" l="1"/>
  <c r="P42" i="30"/>
  <c r="P36" i="30" l="1"/>
  <c r="G34" i="30"/>
  <c r="G36" i="30"/>
  <c r="Q40" i="30"/>
  <c r="Q39" i="30"/>
  <c r="O34" i="30"/>
  <c r="Q34" i="30" s="1"/>
  <c r="O35" i="30"/>
  <c r="Q35" i="30" s="1"/>
  <c r="O36" i="30"/>
  <c r="Q36" i="30" s="1"/>
  <c r="O37" i="30"/>
  <c r="Q37" i="30" s="1"/>
  <c r="K34" i="30"/>
  <c r="N34" i="30" s="1"/>
  <c r="K35" i="30"/>
  <c r="N35" i="30" s="1"/>
  <c r="K36" i="30"/>
  <c r="K37" i="30"/>
  <c r="I10" i="10"/>
  <c r="G10" i="10"/>
  <c r="N37" i="30" l="1"/>
  <c r="N36" i="30"/>
  <c r="G37" i="30"/>
  <c r="K31" i="30" l="1"/>
  <c r="K23" i="30" l="1"/>
  <c r="K25" i="30"/>
  <c r="K30" i="30"/>
  <c r="K32" i="30"/>
  <c r="P23" i="30" l="1"/>
  <c r="T39" i="30" l="1"/>
  <c r="R57" i="30" l="1"/>
  <c r="Q57" i="30"/>
  <c r="O57" i="30"/>
  <c r="N57" i="30"/>
  <c r="R56" i="30"/>
  <c r="Q56" i="30"/>
  <c r="O56" i="30"/>
  <c r="N56" i="30"/>
  <c r="R54" i="30"/>
  <c r="Q54" i="30"/>
  <c r="O54" i="30"/>
  <c r="N54" i="30"/>
  <c r="R52" i="30"/>
  <c r="O52" i="30"/>
  <c r="N52" i="30"/>
  <c r="R51" i="30"/>
  <c r="Q51" i="30"/>
  <c r="O51" i="30"/>
  <c r="N51" i="30"/>
  <c r="S52" i="30"/>
  <c r="S54" i="30" s="1"/>
  <c r="L47" i="30"/>
  <c r="P46" i="30"/>
  <c r="O46" i="30"/>
  <c r="Q46" i="30" s="1"/>
  <c r="N46" i="30"/>
  <c r="G46" i="30"/>
  <c r="G45" i="30"/>
  <c r="P44" i="30"/>
  <c r="O44" i="30"/>
  <c r="Q44" i="30" s="1"/>
  <c r="N44" i="30"/>
  <c r="G44" i="30"/>
  <c r="Q42" i="30"/>
  <c r="P40" i="30"/>
  <c r="G40" i="30"/>
  <c r="F40" i="30" s="1"/>
  <c r="W40" i="30"/>
  <c r="G39" i="30"/>
  <c r="P37" i="30"/>
  <c r="P35" i="30"/>
  <c r="G35" i="30"/>
  <c r="P33" i="30"/>
  <c r="O33" i="30"/>
  <c r="Q33" i="30" s="1"/>
  <c r="K33" i="30"/>
  <c r="G33" i="30"/>
  <c r="P32" i="30"/>
  <c r="O32" i="30"/>
  <c r="Q32" i="30" s="1"/>
  <c r="G32" i="30"/>
  <c r="P31" i="30"/>
  <c r="O31" i="30"/>
  <c r="G31" i="30"/>
  <c r="P30" i="30"/>
  <c r="O30" i="30"/>
  <c r="G30" i="30"/>
  <c r="P28" i="30"/>
  <c r="O28" i="30"/>
  <c r="K28" i="30"/>
  <c r="G28" i="30"/>
  <c r="P27" i="30"/>
  <c r="O27" i="30"/>
  <c r="N27" i="30"/>
  <c r="G27" i="30"/>
  <c r="P25" i="30"/>
  <c r="P21" i="30" s="1"/>
  <c r="O25" i="30"/>
  <c r="Q25" i="30" s="1"/>
  <c r="G25" i="30"/>
  <c r="P24" i="30"/>
  <c r="O24" i="30"/>
  <c r="K24" i="30"/>
  <c r="G24" i="30"/>
  <c r="G23" i="30"/>
  <c r="J21" i="30"/>
  <c r="P20" i="30"/>
  <c r="O20" i="30"/>
  <c r="T15" i="30"/>
  <c r="R14" i="30" s="1"/>
  <c r="R15" i="30"/>
  <c r="D15" i="30"/>
  <c r="D14" i="30"/>
  <c r="K40" i="30"/>
  <c r="E19" i="1"/>
  <c r="D21" i="1"/>
  <c r="H19" i="1"/>
  <c r="J16" i="10"/>
  <c r="J13" i="10"/>
  <c r="Q23" i="30" l="1"/>
  <c r="G47" i="30"/>
  <c r="Q31" i="30"/>
  <c r="S24" i="30"/>
  <c r="R40" i="30"/>
  <c r="R39" i="30"/>
  <c r="R37" i="30"/>
  <c r="R36" i="30"/>
  <c r="R27" i="30"/>
  <c r="N24" i="30"/>
  <c r="R24" i="30" s="1"/>
  <c r="H12" i="10"/>
  <c r="H15" i="10" s="1"/>
  <c r="T46" i="30"/>
  <c r="R46" i="30"/>
  <c r="Q24" i="30"/>
  <c r="F10" i="10"/>
  <c r="F12" i="10"/>
  <c r="F15" i="10" s="1"/>
  <c r="S27" i="30"/>
  <c r="S28" i="30"/>
  <c r="T44" i="30"/>
  <c r="R44" i="30"/>
  <c r="G50" i="30"/>
  <c r="D12" i="30"/>
  <c r="N25" i="30"/>
  <c r="D11" i="30"/>
  <c r="N32" i="30"/>
  <c r="N31" i="30"/>
  <c r="N30" i="30"/>
  <c r="N23" i="30"/>
  <c r="B17" i="1"/>
  <c r="T27" i="30"/>
  <c r="N28" i="30"/>
  <c r="T40" i="30"/>
  <c r="C36" i="1"/>
  <c r="L8" i="30"/>
  <c r="S55" i="30"/>
  <c r="S56" i="30" s="1"/>
  <c r="N33" i="30"/>
  <c r="G21" i="30"/>
  <c r="H10" i="10" l="1"/>
  <c r="J30" i="1"/>
  <c r="D2" i="10" s="1"/>
  <c r="D6" i="10" s="1"/>
  <c r="P47" i="30"/>
  <c r="K39" i="30"/>
  <c r="R33" i="30"/>
  <c r="P50" i="30" l="1"/>
  <c r="P52" i="30" s="1"/>
  <c r="P53" i="30" s="1"/>
  <c r="E12" i="10"/>
  <c r="E10" i="10"/>
  <c r="E15" i="10"/>
  <c r="J38" i="1"/>
  <c r="J39" i="1" s="1"/>
  <c r="J45" i="1" s="1"/>
  <c r="J33" i="1"/>
  <c r="J14" i="10"/>
  <c r="E16" i="10" l="1"/>
  <c r="E17" i="10" s="1"/>
  <c r="P54" i="30"/>
  <c r="J44" i="1"/>
  <c r="J46" i="1" s="1"/>
  <c r="P55" i="30" l="1"/>
  <c r="P56" i="30" s="1"/>
  <c r="W23" i="30"/>
  <c r="J48" i="1"/>
  <c r="J53" i="1" s="1"/>
  <c r="J54" i="1" s="1"/>
  <c r="J55" i="1" s="1"/>
  <c r="F19" i="10" s="1"/>
  <c r="J40" i="1"/>
  <c r="M40" i="1" s="1"/>
  <c r="J15" i="10"/>
  <c r="J12" i="10"/>
  <c r="F20" i="10" l="1"/>
  <c r="O21" i="30"/>
  <c r="O47" i="30" s="1"/>
  <c r="N47" i="30" l="1"/>
  <c r="N21" i="30"/>
  <c r="G19" i="10"/>
  <c r="G20" i="10"/>
  <c r="J11" i="10"/>
  <c r="J35" i="1" l="1"/>
  <c r="T21" i="30"/>
  <c r="J10" i="10"/>
  <c r="N50" i="30"/>
  <c r="T52" i="30" l="1"/>
  <c r="T54" i="30" s="1"/>
  <c r="T56" i="30" s="1"/>
  <c r="T47" i="30"/>
  <c r="W47" i="30" s="1"/>
</calcChain>
</file>

<file path=xl/sharedStrings.xml><?xml version="1.0" encoding="utf-8"?>
<sst xmlns="http://schemas.openxmlformats.org/spreadsheetml/2006/main" count="304" uniqueCount="200">
  <si>
    <t>Estado de Pago:</t>
  </si>
  <si>
    <t>Periodo:</t>
  </si>
  <si>
    <t>Mes:</t>
  </si>
  <si>
    <t xml:space="preserve">FECHA INICIACIÓN : </t>
  </si>
  <si>
    <t xml:space="preserve">PLAZO EJECUCIÓN: </t>
  </si>
  <si>
    <t xml:space="preserve">FECHA DE INICIO: </t>
  </si>
  <si>
    <t xml:space="preserve">FECHA DE TERMINO: </t>
  </si>
  <si>
    <t>VALOR CONTRATO INICIAL</t>
  </si>
  <si>
    <t>VALOR COBRADO HASTA LA FECHA  ( SIN REAJUSTES )</t>
  </si>
  <si>
    <t>VALOR DEL PRESENTE ESTADO DE PAGO ( SIN REAJUSTES )</t>
  </si>
  <si>
    <t>VALOR AFECTO A REAJUSTE</t>
  </si>
  <si>
    <t>VALOR NO AFECTO A REAJUSTE</t>
  </si>
  <si>
    <t>REAJUSTES</t>
  </si>
  <si>
    <t>VALOR DEL PRESENTE ESTADO DE PAGO ( CON REAJUSTES )</t>
  </si>
  <si>
    <t>OTROS DESCUENTOS</t>
  </si>
  <si>
    <t>TOTAL NETO A PAGAR</t>
  </si>
  <si>
    <t>TOTAL A  FACTURAR</t>
  </si>
  <si>
    <t>(No Aplica al presente EP)</t>
  </si>
  <si>
    <t>Estado de Pago N°</t>
  </si>
  <si>
    <t xml:space="preserve">Mes </t>
  </si>
  <si>
    <t xml:space="preserve">Fecha de Presentación : </t>
  </si>
  <si>
    <t>Periodo de Pago             :</t>
  </si>
  <si>
    <t>Moneda                               :</t>
  </si>
  <si>
    <t>CONTRATO BASE</t>
  </si>
  <si>
    <t>AVANCE FINANCIERO</t>
  </si>
  <si>
    <t>ITEM</t>
  </si>
  <si>
    <t>DESCRIPCION</t>
  </si>
  <si>
    <t>Precio</t>
  </si>
  <si>
    <t xml:space="preserve">  Acumulados</t>
  </si>
  <si>
    <t>Presente</t>
  </si>
  <si>
    <t xml:space="preserve"> Acumulados</t>
  </si>
  <si>
    <t>Unidad</t>
  </si>
  <si>
    <t>Total</t>
  </si>
  <si>
    <t>Cantidad</t>
  </si>
  <si>
    <t>Unitario</t>
  </si>
  <si>
    <t>A la fecha</t>
  </si>
  <si>
    <t>I</t>
  </si>
  <si>
    <t>SUBTOTAL CONTRATO BASE</t>
  </si>
  <si>
    <t/>
  </si>
  <si>
    <t>TOTAL NETO</t>
  </si>
  <si>
    <t>TOTAL ESTIMADO</t>
  </si>
  <si>
    <t>VALOR NETO ESTADO DE PAGO</t>
  </si>
  <si>
    <t>19 % DE IVA</t>
  </si>
  <si>
    <t>CONTRATO:</t>
  </si>
  <si>
    <t>DESCRIPCIÓN SERVICIO:</t>
  </si>
  <si>
    <t>CONTRATISTA:</t>
  </si>
  <si>
    <t>TOTAL REAJUSTES ACUMULADOS</t>
  </si>
  <si>
    <t>VALOR VIGENTE DEL CONTRATO</t>
  </si>
  <si>
    <t>AVANCE FISICO DE LAS PARTIDAS</t>
  </si>
  <si>
    <t xml:space="preserve">TOTAL A PAGAR </t>
  </si>
  <si>
    <t>Al EP anterior (%)</t>
  </si>
  <si>
    <t>Acum. a la Fecha (%)</t>
  </si>
  <si>
    <t>Presente EP (%)</t>
  </si>
  <si>
    <t>Saldo Contrato</t>
  </si>
  <si>
    <t>FORMULARIO CARÁTULA ESTADO DE PAGO</t>
  </si>
  <si>
    <t>CARÁTULA ESTADO DE PAGO</t>
  </si>
  <si>
    <t>FORMULARIO</t>
  </si>
  <si>
    <t>Formulario</t>
  </si>
  <si>
    <t>AVANCE PORCENTUAL (%)</t>
  </si>
  <si>
    <t>ESTADO DE PAGO</t>
  </si>
  <si>
    <t>: $</t>
  </si>
  <si>
    <t>mes</t>
  </si>
  <si>
    <t>IVA  19 %</t>
  </si>
  <si>
    <t xml:space="preserve">son: </t>
  </si>
  <si>
    <t xml:space="preserve">EMPRESA CONTRATISTA : </t>
  </si>
  <si>
    <t>RUT :</t>
  </si>
  <si>
    <t>NOMBRE SERVICIOS:</t>
  </si>
  <si>
    <t>CONTRATO :</t>
  </si>
  <si>
    <t>N° DOC:</t>
  </si>
  <si>
    <t xml:space="preserve">Rev: </t>
  </si>
  <si>
    <t>Vigencia:</t>
  </si>
  <si>
    <t>01</t>
  </si>
  <si>
    <t>-</t>
  </si>
  <si>
    <t>Página:</t>
  </si>
  <si>
    <t>2 de 2</t>
  </si>
  <si>
    <t>Pag.        :  1 de 2</t>
  </si>
  <si>
    <t xml:space="preserve">SERVICIOS PROFESIONALES </t>
  </si>
  <si>
    <t xml:space="preserve">Ingeniero Geomensor </t>
  </si>
  <si>
    <t>Topógrafo</t>
  </si>
  <si>
    <t>Alarife</t>
  </si>
  <si>
    <t>SERVICIOS ESPECIALES</t>
  </si>
  <si>
    <t>Batimetría</t>
  </si>
  <si>
    <t>Detección de Interferencias</t>
  </si>
  <si>
    <t>EQUIPOS</t>
  </si>
  <si>
    <t xml:space="preserve">GPS Geodésico tiempo real </t>
  </si>
  <si>
    <t>Estación Total</t>
  </si>
  <si>
    <t>Nivel de Ingeniero</t>
  </si>
  <si>
    <t>Nivel de Ingeniero de alta precisión</t>
  </si>
  <si>
    <t>SERVICIOS DE LABORATORIO</t>
  </si>
  <si>
    <t>Servicios de Laboratorio</t>
  </si>
  <si>
    <t>GASTOS DE APOYO A TARIFA CONVENIDA</t>
  </si>
  <si>
    <t>Vehículo Petrolero Tracción Doble Permanente</t>
  </si>
  <si>
    <t>GASTOS DE APOYO A COSTO EFECTIVO</t>
  </si>
  <si>
    <t>Gastos Reembolsables</t>
  </si>
  <si>
    <t>HH</t>
  </si>
  <si>
    <t>día</t>
  </si>
  <si>
    <t>Valor</t>
  </si>
  <si>
    <t>ADMINISTRADOR DE CONTRATOS GEOSUPORT S.A.</t>
  </si>
  <si>
    <t xml:space="preserve">ODS </t>
  </si>
  <si>
    <t>N°</t>
  </si>
  <si>
    <t>Pesos</t>
  </si>
  <si>
    <t>ODS N°</t>
  </si>
  <si>
    <t>VALOR CONTRATO (ODS) INICIAL  :</t>
  </si>
  <si>
    <t>$</t>
  </si>
  <si>
    <t>VALOR TOTAL DEL CONTRATO  :</t>
  </si>
  <si>
    <t>TOTAL</t>
  </si>
  <si>
    <t>Servicios Topografía</t>
  </si>
  <si>
    <t>Servicio de Laboratorio</t>
  </si>
  <si>
    <t>Gasto de Apoyo a Tarifa Convenida</t>
  </si>
  <si>
    <t>Gasto de Apoyo a Costo Efectivo</t>
  </si>
  <si>
    <t>Valor Cobrado Hasta la Fecha (Sin Reajuste)              :</t>
  </si>
  <si>
    <t>Valor Facturado Acumulado Anterior               :</t>
  </si>
  <si>
    <t>Valor del Presente Estado de Pago (Sin Reajuste)   :</t>
  </si>
  <si>
    <t>%</t>
  </si>
  <si>
    <t>Reajuste Presente Estado de Pago</t>
  </si>
  <si>
    <t>Valor Presente Estado de Pago (Con Reajuste)</t>
  </si>
  <si>
    <t>19% IVA</t>
  </si>
  <si>
    <t xml:space="preserve">Líquido a Pagar </t>
  </si>
  <si>
    <t>Fisco</t>
  </si>
  <si>
    <t>NOC-1  :</t>
  </si>
  <si>
    <t>NOC-2  :</t>
  </si>
  <si>
    <t>NOC-3  :</t>
  </si>
  <si>
    <t>Valor Cartula</t>
  </si>
  <si>
    <t>Valor Formulario</t>
  </si>
  <si>
    <t>E.P. N° 01</t>
  </si>
  <si>
    <t>MODIFICACIONES AUTORIZADAS</t>
  </si>
  <si>
    <t>AUMENTO Y DISMINUCIONES DEL CONTRATO (NOC-1)</t>
  </si>
  <si>
    <t>AUMENTO Y DISMINUCIONES DEL CONTRATO (NOC-2)</t>
  </si>
  <si>
    <t>Anterior EDP N°0</t>
  </si>
  <si>
    <t>Revisión 1</t>
  </si>
  <si>
    <t>Escáner Láser Estructural</t>
  </si>
  <si>
    <t>Escáner Terrestre</t>
  </si>
  <si>
    <t>Dron Multirrotor</t>
  </si>
  <si>
    <t>Dron Ala Fija</t>
  </si>
  <si>
    <t>IMPLEMENTACIÓN MITIGACIÓN EMERGENCIA SANITARIA</t>
  </si>
  <si>
    <t>Medidas COVID-19 /  SIGO-EES-001 (Desglose en Formulario ECO-8)</t>
  </si>
  <si>
    <t>Gestion Geosupport (5%)</t>
  </si>
  <si>
    <t>Reajuste (0 %)</t>
  </si>
  <si>
    <t>Índice de Reajustabilidad (2023)</t>
  </si>
  <si>
    <t>Levantamiento Nube de Puntos Cañerias Sistema Enfriamiento Motor Anillo y Ciclo Conversor Molino Unitario Nº2</t>
  </si>
  <si>
    <t>SERVICIOS DE TOPOGRAFÍA, DETECCIÓN DE INTERFERENCIAS Y LABORATORIO</t>
  </si>
  <si>
    <t>ORDEN DE CAMBIO Nº 01  ODS Nº 01</t>
  </si>
  <si>
    <t>Cotizacion</t>
  </si>
  <si>
    <t>Modificacion</t>
  </si>
  <si>
    <t>UN.</t>
  </si>
  <si>
    <t>PRECIO UNITARIO</t>
  </si>
  <si>
    <t>ORDEN DE CAMBIO 1</t>
  </si>
  <si>
    <t>ODS MODIFICADA</t>
  </si>
  <si>
    <t>CANTIDAD</t>
  </si>
  <si>
    <t>1.</t>
  </si>
  <si>
    <t>Servicios Profesionales</t>
  </si>
  <si>
    <t>1.1.</t>
  </si>
  <si>
    <t>1.2.</t>
  </si>
  <si>
    <t>1.3.</t>
  </si>
  <si>
    <t>2.</t>
  </si>
  <si>
    <t>Servicios Especiales</t>
  </si>
  <si>
    <t>2.1.</t>
  </si>
  <si>
    <t>2.2.</t>
  </si>
  <si>
    <t>3.</t>
  </si>
  <si>
    <t>Equipos</t>
  </si>
  <si>
    <t>3.1.</t>
  </si>
  <si>
    <t>3.2.</t>
  </si>
  <si>
    <t>3.3.</t>
  </si>
  <si>
    <t>3.4.</t>
  </si>
  <si>
    <t>3.5.</t>
  </si>
  <si>
    <t>3.6.</t>
  </si>
  <si>
    <t>Escáner Láser Terrestre</t>
  </si>
  <si>
    <t>3.7.</t>
  </si>
  <si>
    <t>Drone Multirrotor</t>
  </si>
  <si>
    <t>3.8.</t>
  </si>
  <si>
    <t>Drone Ala Fija</t>
  </si>
  <si>
    <t>4.</t>
  </si>
  <si>
    <t>4.1.</t>
  </si>
  <si>
    <t>4.2.</t>
  </si>
  <si>
    <t>5.</t>
  </si>
  <si>
    <t>Gastos de Apoyo a Tarifa convenida:</t>
  </si>
  <si>
    <t>5.1</t>
  </si>
  <si>
    <t xml:space="preserve">Vehículo Petrolero Tracción Doble </t>
  </si>
  <si>
    <t>Mes</t>
  </si>
  <si>
    <t>6.</t>
  </si>
  <si>
    <t>Gastos de Apoyo a costo efectivo</t>
  </si>
  <si>
    <t>6.1</t>
  </si>
  <si>
    <t>REAJUSTES PARA ESTE ESTADO DE PAGO (0%)</t>
  </si>
  <si>
    <t>Once millones seiscientos cincuenta y cuatro mil cuatrocientos sesenta y seis pesos</t>
  </si>
  <si>
    <t>Servicios xxxxxxxxxx</t>
  </si>
  <si>
    <t>Contrato N° xxxxxxxxx</t>
  </si>
  <si>
    <t>xxxxx</t>
  </si>
  <si>
    <t>xxxx</t>
  </si>
  <si>
    <t>N° DOC  : xxxxxxx</t>
  </si>
  <si>
    <t>Rev         : 01</t>
  </si>
  <si>
    <t>Vigencia : 10-07-2026</t>
  </si>
  <si>
    <t>xxxxxx</t>
  </si>
  <si>
    <t>xxxxxxxxxxxxxxxxxxxxxxxxxxxxxxxxxxxxxxxxxxxxxxxx</t>
  </si>
  <si>
    <t>xxxxxxxxxxx</t>
  </si>
  <si>
    <t>ADMINISTRADOR DE CONTRATOSx</t>
  </si>
  <si>
    <t xml:space="preserve">Jefe de Proyecto </t>
  </si>
  <si>
    <t>Gestion  (5%)</t>
  </si>
  <si>
    <t>xxxxxxxxxx</t>
  </si>
  <si>
    <t>xxxxxxxxxxxxx</t>
  </si>
  <si>
    <t xml:space="preserve">USUARIO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</si>
</sst>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6" formatCode="&quot;$&quot;#,##0;[Red]&quot;$&quot;\-#,##0"/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0.000%"/>
    <numFmt numFmtId="168" formatCode="d/m/yy"/>
    <numFmt numFmtId="169" formatCode="_-* #,##0.000_-;\-* #,##0.000_-;_-* &quot;-&quot;??_-;_-@_-"/>
    <numFmt numFmtId="170" formatCode="[$$-340A]\ #,##0;\-[$$-340A]\ #,##0"/>
    <numFmt numFmtId="171" formatCode="000"/>
    <numFmt numFmtId="172" formatCode="&quot;N° &quot;\ 000"/>
    <numFmt numFmtId="173" formatCode="#,##0.0"/>
    <numFmt numFmtId="174" formatCode="d&quot; de &quot;mmmm&quot; de &quot;yyyy;@"/>
    <numFmt numFmtId="175" formatCode="#,##0_ ;\-#,##0\ "/>
    <numFmt numFmtId="176" formatCode="#,##0&quot;       &quot;;\-#,##0&quot;       &quot;;&quot; -&quot;#&quot;       &quot;;@\ "/>
    <numFmt numFmtId="177" formatCode="#,##0.000"/>
    <numFmt numFmtId="178" formatCode="0.000"/>
    <numFmt numFmtId="179" formatCode="[$$-340A]#,##0;[$$-340A]\-#,##0"/>
    <numFmt numFmtId="180" formatCode="_ [$$-340A]* #,##0_ ;_ [$$-340A]* \-#,##0_ ;_ [$$-340A]* &quot;-&quot;_ ;_ @_ "/>
    <numFmt numFmtId="181" formatCode="_-&quot;$&quot;\ * #,##0.00_-;\-&quot;$&quot;\ * #,##0.00_-;_-&quot;$&quot;\ * &quot;-&quot;??_-;_-@_-"/>
    <numFmt numFmtId="182" formatCode="_-* #,##0.00\ _€_-;\-* #,##0.00\ _€_-;_-* &quot;-&quot;??\ _€_-;_-@_-"/>
    <numFmt numFmtId="183" formatCode="#,##0.0000_);[Red]\(#,##0.0000\)"/>
    <numFmt numFmtId="184" formatCode="General_)"/>
    <numFmt numFmtId="185" formatCode="#,##0.00000_);[Red]\(#,##0.00000\)"/>
    <numFmt numFmtId="186" formatCode="#,##0.000000_);[Red]\(#,##0.000000\)"/>
    <numFmt numFmtId="187" formatCode="#,##0.0000000_);[Red]\(#,##0.0000000"/>
    <numFmt numFmtId="188" formatCode="#,##0.00_)&quot;Cents/lb&quot;;\-&quot;$&quot;#,##0.00"/>
    <numFmt numFmtId="189" formatCode="0_);\(0\)"/>
    <numFmt numFmtId="190" formatCode="\$#,##0.00_);\(\$#,##0.00\)"/>
    <numFmt numFmtId="191" formatCode="&quot;$&quot;#,##0_);[Red]\(&quot;$&quot;#,##0\)"/>
    <numFmt numFmtId="192" formatCode="&quot;Pts&quot;\ #,##0;[Red]\-&quot;Pts&quot;\ #,##0"/>
    <numFmt numFmtId="193" formatCode="&quot;$&quot;#,##0.000_);\(&quot;$&quot;#,##0.000\)"/>
    <numFmt numFmtId="194" formatCode="m/d/yy\ h:mm"/>
    <numFmt numFmtId="195" formatCode="mmmm\ d\,\ yyyy"/>
    <numFmt numFmtId="196" formatCode="d\ m\es\ \a\a\a\a"/>
    <numFmt numFmtId="197" formatCode="&quot;$&quot;\ #.##&quot;/KWh&quot;"/>
    <numFmt numFmtId="198" formatCode="&quot;$&quot;#,##0.00_)&quot;/lb&quot;;\-&quot;$&quot;#,##0.00"/>
    <numFmt numFmtId="199" formatCode="&quot;$&quot;#,##0.0000_)&quot;/lb&quot;;\(&quot;$&quot;#,##0.0000\)"/>
    <numFmt numFmtId="200" formatCode="&quot;$&quot;#,##0.000_)&quot;/m3&quot;;\(&quot;$&quot;#,##0.00\)"/>
    <numFmt numFmtId="201" formatCode="&quot;$&quot;\ #.##&quot;/MWh&quot;"/>
    <numFmt numFmtId="202" formatCode="&quot;$&quot;#,##0.00_)&quot;/t&quot;;\-&quot;$&quot;#,##0"/>
    <numFmt numFmtId="203" formatCode="&quot;$&quot;#,##0_)&quot; /year&quot;;[Red]\(#,##0\)"/>
    <numFmt numFmtId="204" formatCode="#,"/>
    <numFmt numFmtId="205" formatCode="_-* #,##0\ _$_-;\-* #,##0\ _$_-;_-* &quot;-&quot;\ _$_-;_-@_-"/>
    <numFmt numFmtId="206" formatCode="_-* #,##0.00\ [$€]_-;\-* #,##0.00\ [$€]_-;_-* &quot;-&quot;??\ [$€]_-;_-@_-"/>
    <numFmt numFmtId="207" formatCode="_-[$€-2]\ * #.##0.00_-;\-[$€-2]\ * #.##0.00_-;_-[$€-2]\ * &quot;-&quot;??_-"/>
    <numFmt numFmtId="208" formatCode="_-* #.##0.00\ &quot;€&quot;_-;\-* #.##0.00\ &quot;€&quot;_-;_-* &quot;-&quot;??\ &quot;€&quot;_-;_-@_-"/>
    <numFmt numFmtId="209" formatCode="_-[$€-2]\ * #,##0.00_-;\-[$€-2]\ * #,##0.00_-;_-[$€-2]\ * &quot;-&quot;??_-"/>
    <numFmt numFmtId="210" formatCode="mmmm\ d\,\ \y\y\y\y"/>
    <numFmt numFmtId="211" formatCode="#,#00"/>
    <numFmt numFmtId="212" formatCode="#.##000"/>
    <numFmt numFmtId="213" formatCode="_-* #,##0.00\ _P_t_s_-;\-* #,##0.00\ _P_t_s_-;_-* &quot;-&quot;??\ _P_t_s_-;_-@_-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_-* #,##0.00\ &quot;Pts&quot;_-;\-* #,##0.00\ &quot;Pts&quot;_-;_-* &quot;-&quot;??\ &quot;Pts&quot;_-;_-@_-"/>
    <numFmt numFmtId="217" formatCode="#,##0\ &quot;Pts&quot;;\-#,##0\ &quot;Pts&quot;"/>
    <numFmt numFmtId="218" formatCode="\$#,#00"/>
    <numFmt numFmtId="219" formatCode="#,##0.00\ &quot;Pts&quot;;\-#,##0.00\ &quot;Pts&quot;"/>
    <numFmt numFmtId="220" formatCode="\$#,##0_);\(\$#,##0\)"/>
    <numFmt numFmtId="221" formatCode="_-* #,##0\ &quot;Pts&quot;_-;\-* #,##0\ &quot;Pts&quot;_-;_-* &quot;-&quot;\ &quot;Pts&quot;_-;_-@_-"/>
    <numFmt numFmtId="222" formatCode="\(#,##0\);\-#,##0\)"/>
    <numFmt numFmtId="223" formatCode="#0&quot; months&quot;"/>
    <numFmt numFmtId="224" formatCode="0."/>
    <numFmt numFmtId="225" formatCode="0%\ &quot;Grade A&quot;"/>
    <numFmt numFmtId="226" formatCode="0.0000%"/>
    <numFmt numFmtId="227" formatCode="m/d/yy\ h:mm:ss"/>
    <numFmt numFmtId="228" formatCode="####\-####\-####"/>
    <numFmt numFmtId="229" formatCode="#,##0.0_);\(#,##0.0\)"/>
    <numFmt numFmtId="230" formatCode="0\ &quot;weeks&quot;"/>
    <numFmt numFmtId="231" formatCode="yyyy"/>
    <numFmt numFmtId="232" formatCode="0.0\ &quot;yrs&quot;"/>
    <numFmt numFmtId="235" formatCode="_(* #,##0.00_);_(* \(#,##0.00\);_(* &quot;-&quot;??_);_(@_)"/>
    <numFmt numFmtId="236" formatCode="0.0000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2"/>
      <name val="Tahoma"/>
      <family val="2"/>
    </font>
    <font>
      <b/>
      <sz val="12"/>
      <name val="Tahoma"/>
      <family val="2"/>
    </font>
    <font>
      <b/>
      <sz val="14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9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sz val="11"/>
      <color indexed="18"/>
      <name val="Arial"/>
      <family val="2"/>
    </font>
    <font>
      <sz val="12"/>
      <color indexed="18"/>
      <name val="Arial"/>
      <family val="2"/>
    </font>
    <font>
      <b/>
      <sz val="12"/>
      <color indexed="9"/>
      <name val="Arial"/>
      <family val="2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u/>
      <sz val="16"/>
      <name val="Arial"/>
      <family val="2"/>
    </font>
    <font>
      <sz val="14"/>
      <color indexed="9"/>
      <name val="Arial"/>
      <family val="2"/>
    </font>
    <font>
      <sz val="14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name val="Arial"/>
      <family val="2"/>
    </font>
    <font>
      <b/>
      <sz val="8"/>
      <name val="Arial"/>
      <family val="2"/>
    </font>
    <font>
      <b/>
      <sz val="18"/>
      <color theme="3"/>
      <name val="Calibri"/>
      <family val="2"/>
      <scheme val="minor"/>
    </font>
    <font>
      <sz val="16"/>
      <name val="Arial"/>
      <family val="2"/>
    </font>
    <font>
      <b/>
      <sz val="18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20"/>
      <color theme="3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9"/>
      <name val="Tahoma"/>
      <family val="2"/>
    </font>
    <font>
      <b/>
      <sz val="14"/>
      <color theme="1"/>
      <name val="Arial"/>
      <family val="2"/>
    </font>
    <font>
      <sz val="11"/>
      <name val="Helv"/>
    </font>
    <font>
      <sz val="12"/>
      <name val="Calibri"/>
      <family val="2"/>
    </font>
    <font>
      <b/>
      <sz val="12"/>
      <name val="Calibri"/>
      <family val="2"/>
    </font>
    <font>
      <b/>
      <sz val="16"/>
      <color indexed="18"/>
      <name val="Arial"/>
      <family val="2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name val="SimSun"/>
      <family val="2"/>
    </font>
    <font>
      <sz val="11"/>
      <color indexed="8"/>
      <name val="Calibri"/>
      <family val="2"/>
    </font>
    <font>
      <sz val="11"/>
      <color indexed="26"/>
      <name val="Calibri"/>
      <family val="2"/>
    </font>
    <font>
      <sz val="8"/>
      <name val="Arial"/>
      <family val="2"/>
    </font>
    <font>
      <sz val="8"/>
      <name val="Helv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24"/>
      <name val="Courier New"/>
      <family val="3"/>
    </font>
    <font>
      <sz val="11"/>
      <name val="Courier New"/>
      <family val="3"/>
    </font>
    <font>
      <sz val="9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sz val="10"/>
      <color indexed="11"/>
      <name val="Courier New"/>
      <family val="3"/>
    </font>
    <font>
      <b/>
      <sz val="11"/>
      <color indexed="26"/>
      <name val="Calibri"/>
      <family val="2"/>
    </font>
    <font>
      <b/>
      <sz val="10"/>
      <color indexed="24"/>
      <name val="Arial"/>
      <family val="2"/>
    </font>
    <font>
      <sz val="10"/>
      <name val="Helv"/>
    </font>
    <font>
      <sz val="10"/>
      <name val="Courier New"/>
      <family val="3"/>
    </font>
    <font>
      <sz val="10"/>
      <name val="Geneva"/>
      <family val="2"/>
    </font>
    <font>
      <b/>
      <i/>
      <sz val="11"/>
      <name val="Penguin-Light-Normal"/>
    </font>
    <font>
      <sz val="10"/>
      <color indexed="8"/>
      <name val="Arial"/>
      <family val="2"/>
    </font>
    <font>
      <sz val="1"/>
      <color indexed="8"/>
      <name val="Courier"/>
      <family val="3"/>
    </font>
    <font>
      <b/>
      <strike/>
      <sz val="8"/>
      <name val="Tahoma"/>
      <family val="2"/>
    </font>
    <font>
      <sz val="5"/>
      <name val="Arial"/>
      <family val="2"/>
    </font>
    <font>
      <b/>
      <sz val="1"/>
      <color indexed="8"/>
      <name val="Courier"/>
      <family val="3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8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sz val="6"/>
      <name val="Times New Roman"/>
      <family val="1"/>
    </font>
    <font>
      <sz val="18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sz val="5"/>
      <name val="Times New Roman"/>
      <family val="1"/>
    </font>
    <font>
      <sz val="7"/>
      <name val="Arial Narrow"/>
      <family val="2"/>
    </font>
    <font>
      <i/>
      <sz val="8"/>
      <name val="Penguin-Light-Normal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indexed="9"/>
      <name val="MS Sans Serif"/>
      <family val="2"/>
    </font>
    <font>
      <u/>
      <sz val="10"/>
      <color indexed="12"/>
      <name val="Arial"/>
      <family val="2"/>
    </font>
    <font>
      <u/>
      <sz val="9.6"/>
      <color indexed="12"/>
      <name val="Times New Roman"/>
      <family val="1"/>
    </font>
    <font>
      <u/>
      <sz val="8"/>
      <color indexed="36"/>
      <name val="Arial"/>
      <family val="2"/>
    </font>
    <font>
      <sz val="11"/>
      <color indexed="16"/>
      <name val="Calibri"/>
      <family val="2"/>
    </font>
    <font>
      <b/>
      <sz val="7"/>
      <name val="Arial"/>
      <family val="2"/>
    </font>
    <font>
      <b/>
      <i/>
      <sz val="12"/>
      <color indexed="12"/>
      <name val="Arial"/>
      <family val="2"/>
    </font>
    <font>
      <sz val="9"/>
      <color indexed="9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b/>
      <i/>
      <sz val="16"/>
      <name val="Helv"/>
    </font>
    <font>
      <sz val="11"/>
      <color rgb="FF000000"/>
      <name val="Calibri"/>
      <family val="2"/>
    </font>
    <font>
      <sz val="12"/>
      <color indexed="8"/>
      <name val="Verdana"/>
      <family val="2"/>
    </font>
    <font>
      <b/>
      <sz val="10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i/>
      <sz val="10"/>
      <name val="Arial"/>
      <family val="2"/>
    </font>
    <font>
      <b/>
      <sz val="9"/>
      <name val="Arial"/>
      <family val="2"/>
    </font>
    <font>
      <b/>
      <sz val="12"/>
      <name val="MS Sans Serif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i/>
      <sz val="12"/>
      <name val="Arial"/>
      <family val="2"/>
    </font>
    <font>
      <sz val="12"/>
      <name val="Courier New"/>
      <family val="3"/>
    </font>
    <font>
      <sz val="10"/>
      <name val="Geneva"/>
    </font>
    <font>
      <b/>
      <sz val="20"/>
      <name val="Arial"/>
      <family val="2"/>
    </font>
    <font>
      <sz val="14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</patternFill>
    </fill>
    <fill>
      <patternFill patternType="solid">
        <fgColor indexed="62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38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9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9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medium">
        <color rgb="FFFF0000"/>
      </bottom>
      <diagonal/>
    </border>
    <border>
      <left/>
      <right/>
      <top style="thick">
        <color rgb="FFFF0000"/>
      </top>
      <bottom style="medium">
        <color rgb="FFFF0000"/>
      </bottom>
      <diagonal/>
    </border>
    <border>
      <left/>
      <right style="thick">
        <color rgb="FFFF0000"/>
      </right>
      <top style="thick">
        <color rgb="FFFF0000"/>
      </top>
      <bottom style="medium">
        <color rgb="FFFF0000"/>
      </bottom>
      <diagonal/>
    </border>
    <border>
      <left style="thick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ck">
        <color rgb="FFFF0000"/>
      </right>
      <top style="medium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medium">
        <color indexed="64"/>
      </top>
      <bottom/>
      <diagonal/>
    </border>
    <border>
      <left/>
      <right style="thick">
        <color rgb="FFFF0000"/>
      </right>
      <top style="medium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theme="3" tint="0.39988402966399123"/>
      </left>
      <right/>
      <top style="thin">
        <color theme="3" tint="0.39988402966399123"/>
      </top>
      <bottom/>
      <diagonal/>
    </border>
    <border>
      <left/>
      <right/>
      <top style="thin">
        <color theme="3" tint="0.39988402966399123"/>
      </top>
      <bottom/>
      <diagonal/>
    </border>
    <border>
      <left/>
      <right style="thin">
        <color theme="3" tint="0.39988402966399123"/>
      </right>
      <top style="thin">
        <color theme="3" tint="0.39988402966399123"/>
      </top>
      <bottom/>
      <diagonal/>
    </border>
    <border>
      <left style="thin">
        <color theme="3" tint="0.39988402966399123"/>
      </left>
      <right/>
      <top/>
      <bottom/>
      <diagonal/>
    </border>
    <border>
      <left/>
      <right style="thin">
        <color theme="3" tint="0.39988402966399123"/>
      </right>
      <top/>
      <bottom/>
      <diagonal/>
    </border>
    <border>
      <left style="thin">
        <color theme="3" tint="0.39985351115451523"/>
      </left>
      <right/>
      <top/>
      <bottom/>
      <diagonal/>
    </border>
    <border>
      <left/>
      <right style="thin">
        <color theme="3" tint="0.39985351115451523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3" tint="0.39985351115451523"/>
      </left>
      <right/>
      <top/>
      <bottom style="thin">
        <color theme="3" tint="0.39985351115451523"/>
      </bottom>
      <diagonal/>
    </border>
    <border>
      <left/>
      <right/>
      <top/>
      <bottom style="thin">
        <color theme="3" tint="0.39985351115451523"/>
      </bottom>
      <diagonal/>
    </border>
    <border>
      <left/>
      <right style="thin">
        <color theme="3" tint="0.39985351115451523"/>
      </right>
      <top/>
      <bottom style="thin">
        <color theme="3" tint="0.399853511154515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508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0" fontId="9" fillId="4" borderId="0" applyNumberFormat="0" applyBorder="0" applyAlignment="0" applyProtection="0"/>
    <xf numFmtId="0" fontId="6" fillId="0" borderId="0"/>
    <xf numFmtId="0" fontId="9" fillId="5" borderId="0" applyNumberFormat="0" applyBorder="0" applyAlignment="0" applyProtection="0"/>
    <xf numFmtId="165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" fillId="0" borderId="0"/>
    <xf numFmtId="9" fontId="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6" fillId="0" borderId="0"/>
    <xf numFmtId="0" fontId="1" fillId="0" borderId="0"/>
    <xf numFmtId="181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165" fontId="1" fillId="0" borderId="0" applyFont="0" applyFill="0" applyBorder="0" applyAlignment="0" applyProtection="0"/>
    <xf numFmtId="9" fontId="45" fillId="0" borderId="0" applyFill="0" applyBorder="0" applyAlignment="0" applyProtection="0"/>
    <xf numFmtId="175" fontId="45" fillId="0" borderId="0" applyFill="0" applyBorder="0" applyAlignment="0" applyProtection="0"/>
    <xf numFmtId="0" fontId="45" fillId="0" borderId="0" applyFill="0" applyBorder="0" applyAlignment="0" applyProtection="0"/>
    <xf numFmtId="0" fontId="46" fillId="0" borderId="0"/>
    <xf numFmtId="0" fontId="1" fillId="0" borderId="0"/>
    <xf numFmtId="0" fontId="6" fillId="0" borderId="0"/>
    <xf numFmtId="0" fontId="6" fillId="0" borderId="0"/>
    <xf numFmtId="0" fontId="46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17" borderId="0" applyNumberFormat="0" applyBorder="0" applyAlignment="0" applyProtection="0"/>
    <xf numFmtId="0" fontId="46" fillId="20" borderId="0" applyNumberFormat="0" applyBorder="0" applyAlignment="0" applyProtection="0"/>
    <xf numFmtId="0" fontId="46" fillId="18" borderId="0" applyNumberFormat="0" applyBorder="0" applyAlignment="0" applyProtection="0"/>
    <xf numFmtId="0" fontId="46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18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1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5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6" borderId="0" applyNumberFormat="0" applyBorder="0" applyAlignment="0" applyProtection="0"/>
    <xf numFmtId="0" fontId="46" fillId="29" borderId="0" applyNumberFormat="0" applyBorder="0" applyAlignment="0" applyProtection="0"/>
    <xf numFmtId="0" fontId="46" fillId="18" borderId="0" applyNumberFormat="0" applyBorder="0" applyAlignment="0" applyProtection="0"/>
    <xf numFmtId="0" fontId="46" fillId="26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18" borderId="0" applyNumberFormat="0" applyBorder="0" applyAlignment="0" applyProtection="0"/>
    <xf numFmtId="0" fontId="46" fillId="30" borderId="0" applyNumberFormat="0" applyBorder="0" applyAlignment="0" applyProtection="0"/>
    <xf numFmtId="0" fontId="46" fillId="30" borderId="0" applyNumberFormat="0" applyBorder="0" applyAlignment="0" applyProtection="0"/>
    <xf numFmtId="0" fontId="46" fillId="30" borderId="0" applyNumberFormat="0" applyBorder="0" applyAlignment="0" applyProtection="0"/>
    <xf numFmtId="0" fontId="46" fillId="26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5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6" borderId="0" applyNumberFormat="0" applyBorder="0" applyAlignment="0" applyProtection="0"/>
    <xf numFmtId="0" fontId="47" fillId="32" borderId="0" applyNumberFormat="0" applyBorder="0" applyAlignment="0" applyProtection="0"/>
    <xf numFmtId="0" fontId="47" fillId="18" borderId="0" applyNumberFormat="0" applyBorder="0" applyAlignment="0" applyProtection="0"/>
    <xf numFmtId="0" fontId="9" fillId="32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27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37" fontId="48" fillId="0" borderId="1" applyFont="0" applyBorder="0" applyAlignment="0">
      <alignment horizontal="centerContinuous"/>
    </xf>
    <xf numFmtId="0" fontId="49" fillId="0" borderId="0" applyNumberFormat="0" applyFill="0" applyProtection="0">
      <alignment horizontal="left"/>
    </xf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47" fillId="37" borderId="0" applyNumberFormat="0" applyBorder="0" applyAlignment="0" applyProtection="0"/>
    <xf numFmtId="0" fontId="47" fillId="38" borderId="0" applyNumberFormat="0" applyBorder="0" applyAlignment="0" applyProtection="0"/>
    <xf numFmtId="0" fontId="47" fillId="32" borderId="0" applyNumberFormat="0" applyBorder="0" applyAlignment="0" applyProtection="0"/>
    <xf numFmtId="0" fontId="47" fillId="39" borderId="0" applyNumberFormat="0" applyBorder="0" applyAlignment="0" applyProtection="0"/>
    <xf numFmtId="0" fontId="50" fillId="0" borderId="0"/>
    <xf numFmtId="0" fontId="51" fillId="21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52" fillId="23" borderId="0" applyNumberFormat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83" fontId="6" fillId="0" borderId="0" applyFill="0" applyBorder="0" applyAlignment="0"/>
    <xf numFmtId="183" fontId="6" fillId="0" borderId="0" applyFill="0" applyBorder="0" applyAlignment="0"/>
    <xf numFmtId="184" fontId="56" fillId="0" borderId="0" applyFill="0" applyBorder="0" applyAlignment="0"/>
    <xf numFmtId="178" fontId="56" fillId="0" borderId="0" applyFill="0" applyBorder="0" applyAlignment="0"/>
    <xf numFmtId="185" fontId="6" fillId="0" borderId="0" applyFill="0" applyBorder="0" applyAlignment="0"/>
    <xf numFmtId="185" fontId="6" fillId="0" borderId="0" applyFill="0" applyBorder="0" applyAlignment="0"/>
    <xf numFmtId="186" fontId="6" fillId="0" borderId="0" applyFill="0" applyBorder="0" applyAlignment="0"/>
    <xf numFmtId="186" fontId="6" fillId="0" borderId="0" applyFill="0" applyBorder="0" applyAlignment="0"/>
    <xf numFmtId="183" fontId="6" fillId="0" borderId="0" applyFill="0" applyBorder="0" applyAlignment="0"/>
    <xf numFmtId="183" fontId="6" fillId="0" borderId="0" applyFill="0" applyBorder="0" applyAlignment="0"/>
    <xf numFmtId="187" fontId="6" fillId="0" borderId="0" applyFill="0" applyBorder="0" applyAlignment="0"/>
    <xf numFmtId="187" fontId="6" fillId="0" borderId="0" applyFill="0" applyBorder="0" applyAlignment="0"/>
    <xf numFmtId="184" fontId="56" fillId="0" borderId="0" applyFill="0" applyBorder="0" applyAlignment="0"/>
    <xf numFmtId="0" fontId="57" fillId="17" borderId="109" applyNumberFormat="0" applyAlignment="0" applyProtection="0"/>
    <xf numFmtId="0" fontId="57" fillId="26" borderId="109" applyNumberFormat="0" applyAlignment="0" applyProtection="0"/>
    <xf numFmtId="0" fontId="57" fillId="26" borderId="109" applyNumberFormat="0" applyAlignment="0" applyProtection="0"/>
    <xf numFmtId="0" fontId="57" fillId="26" borderId="109" applyNumberFormat="0" applyAlignment="0" applyProtection="0"/>
    <xf numFmtId="0" fontId="57" fillId="26" borderId="109" applyNumberFormat="0" applyAlignment="0" applyProtection="0"/>
    <xf numFmtId="0" fontId="58" fillId="33" borderId="110" applyNumberFormat="0" applyAlignment="0" applyProtection="0"/>
    <xf numFmtId="0" fontId="58" fillId="33" borderId="110" applyNumberFormat="0" applyAlignment="0" applyProtection="0"/>
    <xf numFmtId="0" fontId="58" fillId="33" borderId="110" applyNumberFormat="0" applyAlignment="0" applyProtection="0"/>
    <xf numFmtId="0" fontId="58" fillId="33" borderId="110" applyNumberFormat="0" applyAlignment="0" applyProtection="0"/>
    <xf numFmtId="0" fontId="59" fillId="0" borderId="111" applyNumberFormat="0" applyFill="0" applyAlignment="0" applyProtection="0"/>
    <xf numFmtId="0" fontId="60" fillId="0" borderId="111" applyNumberFormat="0" applyFill="0" applyAlignment="0" applyProtection="0"/>
    <xf numFmtId="0" fontId="60" fillId="0" borderId="111" applyNumberFormat="0" applyFill="0" applyAlignment="0" applyProtection="0"/>
    <xf numFmtId="0" fontId="60" fillId="0" borderId="111" applyNumberFormat="0" applyFill="0" applyAlignment="0" applyProtection="0"/>
    <xf numFmtId="188" fontId="61" fillId="0" borderId="103">
      <alignment horizontal="center"/>
      <protection locked="0"/>
    </xf>
    <xf numFmtId="0" fontId="62" fillId="33" borderId="110" applyNumberFormat="0" applyAlignment="0" applyProtection="0"/>
    <xf numFmtId="1" fontId="26" fillId="0" borderId="0" applyFill="0" applyBorder="0">
      <alignment horizontal="center"/>
    </xf>
    <xf numFmtId="1" fontId="26" fillId="0" borderId="0" applyFill="0" applyBorder="0">
      <alignment horizontal="center"/>
    </xf>
    <xf numFmtId="1" fontId="26" fillId="0" borderId="0" applyFill="0" applyBorder="0">
      <alignment horizontal="center"/>
    </xf>
    <xf numFmtId="1" fontId="26" fillId="0" borderId="0" applyFill="0" applyBorder="0">
      <alignment horizontal="center"/>
    </xf>
    <xf numFmtId="1" fontId="26" fillId="0" borderId="0" applyFill="0" applyBorder="0">
      <alignment horizontal="center"/>
    </xf>
    <xf numFmtId="1" fontId="26" fillId="0" borderId="0" applyFill="0" applyBorder="0">
      <alignment horizontal="center"/>
    </xf>
    <xf numFmtId="39" fontId="6" fillId="0" borderId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39" fontId="6" fillId="0" borderId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89" fontId="6" fillId="0" borderId="0" applyFont="0" applyFill="0" applyBorder="0" applyAlignment="0" applyProtection="0"/>
    <xf numFmtId="3" fontId="63" fillId="0" borderId="0" applyFont="0" applyFill="0" applyBorder="0" applyAlignment="0" applyProtection="0"/>
    <xf numFmtId="0" fontId="64" fillId="0" borderId="0"/>
    <xf numFmtId="3" fontId="63" fillId="0" borderId="0" applyFont="0" applyFill="0" applyBorder="0" applyAlignment="0" applyProtection="0"/>
    <xf numFmtId="3" fontId="6" fillId="0" borderId="0" applyFill="0" applyBorder="0" applyAlignment="0" applyProtection="0"/>
    <xf numFmtId="0" fontId="64" fillId="0" borderId="0"/>
    <xf numFmtId="0" fontId="6" fillId="0" borderId="0" applyFill="0"/>
    <xf numFmtId="0" fontId="6" fillId="0" borderId="0" applyFill="0"/>
    <xf numFmtId="190" fontId="6" fillId="0" borderId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1" fontId="2" fillId="0" borderId="0" applyFont="0" applyFill="0" applyBorder="0" applyAlignment="0" applyProtection="0"/>
    <xf numFmtId="184" fontId="56" fillId="0" borderId="0" applyFont="0" applyFill="0" applyBorder="0" applyAlignment="0" applyProtection="0"/>
    <xf numFmtId="193" fontId="65" fillId="0" borderId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190" fontId="6" fillId="0" borderId="0" applyFill="0" applyBorder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7" fillId="0" borderId="100" applyNumberFormat="0" applyFill="0" applyAlignment="0" applyProtection="0"/>
    <xf numFmtId="0" fontId="6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0" fontId="49" fillId="0" borderId="19" applyNumberFormat="0" applyAlignment="0" applyProtection="0"/>
    <xf numFmtId="0" fontId="49" fillId="0" borderId="19" applyNumberFormat="0" applyAlignment="0" applyProtection="0"/>
    <xf numFmtId="0" fontId="49" fillId="0" borderId="19" applyNumberFormat="0" applyAlignment="0" applyProtection="0"/>
    <xf numFmtId="0" fontId="67" fillId="0" borderId="0" applyFill="0" applyBorder="0" applyAlignment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4" fontId="68" fillId="0" borderId="0" applyFill="0" applyBorder="0" applyAlignment="0"/>
    <xf numFmtId="195" fontId="6" fillId="0" borderId="0" applyFill="0" applyBorder="0" applyAlignment="0" applyProtection="0"/>
    <xf numFmtId="38" fontId="2" fillId="0" borderId="112">
      <alignment vertical="center"/>
    </xf>
    <xf numFmtId="0" fontId="69" fillId="0" borderId="0">
      <protection locked="0"/>
    </xf>
    <xf numFmtId="196" fontId="13" fillId="0" borderId="0" applyFill="0" applyBorder="0" applyAlignment="0" applyProtection="0"/>
    <xf numFmtId="196" fontId="13" fillId="0" borderId="0" applyFill="0" applyBorder="0" applyAlignment="0" applyProtection="0"/>
    <xf numFmtId="196" fontId="13" fillId="0" borderId="0" applyFill="0" applyBorder="0" applyAlignment="0" applyProtection="0"/>
    <xf numFmtId="196" fontId="13" fillId="0" borderId="0" applyFill="0" applyBorder="0" applyAlignment="0" applyProtection="0"/>
    <xf numFmtId="196" fontId="13" fillId="0" borderId="0" applyFill="0" applyBorder="0" applyAlignment="0" applyProtection="0"/>
    <xf numFmtId="0" fontId="69" fillId="0" borderId="0">
      <protection locked="0"/>
    </xf>
    <xf numFmtId="197" fontId="6" fillId="0" borderId="0">
      <alignment horizontal="center"/>
    </xf>
    <xf numFmtId="198" fontId="6" fillId="0" borderId="0">
      <alignment horizontal="center"/>
    </xf>
    <xf numFmtId="199" fontId="6" fillId="0" borderId="0">
      <alignment horizontal="right"/>
    </xf>
    <xf numFmtId="200" fontId="65" fillId="0" borderId="14">
      <alignment horizontal="center"/>
    </xf>
    <xf numFmtId="201" fontId="6" fillId="0" borderId="0">
      <alignment horizontal="center"/>
    </xf>
    <xf numFmtId="202" fontId="6" fillId="0" borderId="0">
      <alignment horizontal="center"/>
    </xf>
    <xf numFmtId="203" fontId="65" fillId="0" borderId="40">
      <alignment horizontal="center"/>
    </xf>
    <xf numFmtId="0" fontId="70" fillId="0" borderId="103" applyNumberFormat="0" applyBorder="0" applyAlignment="0">
      <alignment horizontal="left" vertical="top"/>
    </xf>
    <xf numFmtId="0" fontId="71" fillId="0" borderId="0" applyNumberFormat="0" applyFill="0" applyBorder="0" applyAlignment="0" applyProtection="0"/>
    <xf numFmtId="204" fontId="72" fillId="0" borderId="0">
      <protection locked="0"/>
    </xf>
    <xf numFmtId="0" fontId="53" fillId="0" borderId="0" applyNumberFormat="0" applyFill="0" applyBorder="0" applyAlignment="0" applyProtection="0"/>
    <xf numFmtId="204" fontId="72" fillId="0" borderId="0">
      <protection locked="0"/>
    </xf>
    <xf numFmtId="204" fontId="72" fillId="0" borderId="0">
      <protection locked="0"/>
    </xf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204" fontId="72" fillId="0" borderId="0">
      <protection locked="0"/>
    </xf>
    <xf numFmtId="0" fontId="5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40" borderId="0" applyNumberFormat="0" applyBorder="0" applyAlignment="0" applyProtection="0"/>
    <xf numFmtId="0" fontId="75" fillId="41" borderId="0" applyNumberFormat="0" applyBorder="0" applyAlignment="0" applyProtection="0"/>
    <xf numFmtId="0" fontId="75" fillId="42" borderId="0" applyNumberFormat="0" applyBorder="0" applyAlignment="0" applyProtection="0"/>
    <xf numFmtId="0" fontId="46" fillId="43" borderId="0" applyNumberFormat="0" applyBorder="0" applyAlignment="0" applyProtection="0"/>
    <xf numFmtId="0" fontId="46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46" fillId="46" borderId="0" applyNumberFormat="0" applyBorder="0" applyAlignment="0" applyProtection="0"/>
    <xf numFmtId="0" fontId="46" fillId="50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46" fillId="43" borderId="0" applyNumberFormat="0" applyBorder="0" applyAlignment="0" applyProtection="0"/>
    <xf numFmtId="0" fontId="46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46" fillId="51" borderId="0" applyNumberFormat="0" applyBorder="0" applyAlignment="0" applyProtection="0"/>
    <xf numFmtId="0" fontId="46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9" fillId="52" borderId="0" applyNumberFormat="0" applyBorder="0" applyAlignment="0" applyProtection="0"/>
    <xf numFmtId="0" fontId="46" fillId="46" borderId="0" applyNumberFormat="0" applyBorder="0" applyAlignment="0" applyProtection="0"/>
    <xf numFmtId="0" fontId="46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183" fontId="6" fillId="0" borderId="0" applyFill="0" applyBorder="0" applyAlignment="0"/>
    <xf numFmtId="183" fontId="6" fillId="0" borderId="0" applyFill="0" applyBorder="0" applyAlignment="0"/>
    <xf numFmtId="184" fontId="56" fillId="0" borderId="0" applyFill="0" applyBorder="0" applyAlignment="0"/>
    <xf numFmtId="183" fontId="6" fillId="0" borderId="0" applyFill="0" applyBorder="0" applyAlignment="0"/>
    <xf numFmtId="183" fontId="6" fillId="0" borderId="0" applyFill="0" applyBorder="0" applyAlignment="0"/>
    <xf numFmtId="187" fontId="6" fillId="0" borderId="0" applyFill="0" applyBorder="0" applyAlignment="0"/>
    <xf numFmtId="187" fontId="6" fillId="0" borderId="0" applyFill="0" applyBorder="0" applyAlignment="0"/>
    <xf numFmtId="184" fontId="56" fillId="0" borderId="0" applyFill="0" applyBorder="0" applyAlignment="0"/>
    <xf numFmtId="0" fontId="76" fillId="53" borderId="109" applyNumberFormat="0" applyAlignment="0" applyProtection="0"/>
    <xf numFmtId="0" fontId="76" fillId="18" borderId="109" applyNumberFormat="0" applyAlignment="0" applyProtection="0"/>
    <xf numFmtId="0" fontId="76" fillId="18" borderId="109" applyNumberFormat="0" applyAlignment="0" applyProtection="0"/>
    <xf numFmtId="0" fontId="76" fillId="18" borderId="109" applyNumberFormat="0" applyAlignment="0" applyProtection="0"/>
    <xf numFmtId="0" fontId="6" fillId="0" borderId="113" applyNumberFormat="0"/>
    <xf numFmtId="0" fontId="6" fillId="0" borderId="113" applyNumberFormat="0"/>
    <xf numFmtId="0" fontId="6" fillId="0" borderId="113" applyNumberFormat="0"/>
    <xf numFmtId="0" fontId="6" fillId="0" borderId="113" applyNumberFormat="0"/>
    <xf numFmtId="0" fontId="6" fillId="0" borderId="113" applyNumberFormat="0"/>
    <xf numFmtId="0" fontId="6" fillId="0" borderId="113" applyNumberFormat="0"/>
    <xf numFmtId="0" fontId="6" fillId="0" borderId="113" applyNumberFormat="0"/>
    <xf numFmtId="0" fontId="6" fillId="0" borderId="113" applyNumberFormat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46" fillId="0" borderId="0"/>
    <xf numFmtId="0" fontId="46" fillId="0" borderId="0"/>
    <xf numFmtId="0" fontId="77" fillId="0" borderId="0" applyNumberFormat="0" applyFill="0" applyBorder="0" applyAlignment="0" applyProtection="0"/>
    <xf numFmtId="3" fontId="78" fillId="0" borderId="0" applyFill="0" applyBorder="0" applyAlignment="0" applyProtection="0"/>
    <xf numFmtId="0" fontId="53" fillId="0" borderId="0" applyNumberFormat="0" applyFill="0" applyBorder="0" applyAlignment="0" applyProtection="0"/>
    <xf numFmtId="3" fontId="78" fillId="0" borderId="0" applyFill="0" applyBorder="0" applyAlignment="0" applyProtection="0"/>
    <xf numFmtId="3" fontId="79" fillId="0" borderId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3" fontId="79" fillId="0" borderId="0" applyFill="0" applyBorder="0" applyAlignment="0" applyProtection="0"/>
    <xf numFmtId="3" fontId="80" fillId="0" borderId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3" fontId="80" fillId="0" borderId="0" applyFill="0" applyBorder="0" applyAlignment="0" applyProtection="0"/>
    <xf numFmtId="3" fontId="13" fillId="0" borderId="0" applyFill="0" applyBorder="0" applyAlignment="0" applyProtection="0"/>
    <xf numFmtId="3" fontId="81" fillId="0" borderId="0" applyFill="0" applyBorder="0" applyAlignment="0" applyProtection="0"/>
    <xf numFmtId="3" fontId="13" fillId="0" borderId="0" applyFill="0" applyBorder="0" applyAlignment="0" applyProtection="0"/>
    <xf numFmtId="3" fontId="82" fillId="0" borderId="0" applyFill="0" applyBorder="0" applyAlignment="0" applyProtection="0"/>
    <xf numFmtId="3" fontId="81" fillId="0" borderId="0" applyFill="0" applyBorder="0" applyAlignment="0" applyProtection="0"/>
    <xf numFmtId="3" fontId="82" fillId="0" borderId="0" applyFill="0" applyBorder="0" applyAlignment="0" applyProtection="0"/>
    <xf numFmtId="3" fontId="83" fillId="0" borderId="0" applyFill="0" applyBorder="0" applyAlignment="0" applyProtection="0"/>
    <xf numFmtId="3" fontId="84" fillId="0" borderId="0" applyFill="0" applyBorder="0" applyAlignment="0" applyProtection="0"/>
    <xf numFmtId="3" fontId="83" fillId="0" borderId="0" applyFill="0" applyBorder="0" applyAlignment="0" applyProtection="0"/>
    <xf numFmtId="3" fontId="84" fillId="0" borderId="0" applyFill="0" applyBorder="0" applyAlignment="0" applyProtection="0"/>
    <xf numFmtId="3" fontId="85" fillId="0" borderId="0" applyFill="0" applyBorder="0" applyAlignment="0" applyProtection="0"/>
    <xf numFmtId="3" fontId="84" fillId="0" borderId="0" applyFill="0" applyBorder="0" applyAlignment="0" applyProtection="0"/>
    <xf numFmtId="3" fontId="84" fillId="0" borderId="0" applyFill="0" applyBorder="0" applyAlignment="0" applyProtection="0"/>
    <xf numFmtId="210" fontId="6" fillId="0" borderId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10" fontId="6" fillId="0" borderId="0" applyFill="0" applyBorder="0" applyAlignment="0" applyProtection="0"/>
    <xf numFmtId="0" fontId="86" fillId="0" borderId="0" applyBorder="0" applyAlignment="0">
      <alignment horizontal="left"/>
    </xf>
    <xf numFmtId="211" fontId="69" fillId="0" borderId="0">
      <protection locked="0"/>
    </xf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211" fontId="69" fillId="0" borderId="0">
      <protection locked="0"/>
    </xf>
    <xf numFmtId="212" fontId="69" fillId="0" borderId="0">
      <protection locked="0"/>
    </xf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173" fontId="13" fillId="0" borderId="0" applyFill="0" applyBorder="0" applyAlignment="0" applyProtection="0"/>
    <xf numFmtId="212" fontId="69" fillId="0" borderId="0">
      <protection locked="0"/>
    </xf>
    <xf numFmtId="2" fontId="63" fillId="0" borderId="0" applyFont="0" applyFill="0" applyBorder="0" applyAlignment="0" applyProtection="0"/>
    <xf numFmtId="2" fontId="63" fillId="0" borderId="0" applyFont="0" applyFill="0" applyBorder="0" applyAlignment="0" applyProtection="0"/>
    <xf numFmtId="9" fontId="6" fillId="0" borderId="0" applyNumberFormat="0" applyFont="0" applyFill="0" applyBorder="0"/>
    <xf numFmtId="9" fontId="6" fillId="0" borderId="0" applyNumberFormat="0" applyFont="0" applyFill="0" applyBorder="0"/>
    <xf numFmtId="0" fontId="52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8" fontId="48" fillId="7" borderId="0" applyNumberFormat="0" applyBorder="0" applyAlignment="0" applyProtection="0"/>
    <xf numFmtId="0" fontId="87" fillId="0" borderId="14" applyNumberFormat="0" applyFill="0" applyBorder="0" applyAlignment="0"/>
    <xf numFmtId="0" fontId="8" fillId="0" borderId="19" applyNumberFormat="0" applyAlignment="0" applyProtection="0">
      <alignment horizontal="left" vertical="center"/>
    </xf>
    <xf numFmtId="0" fontId="8" fillId="0" borderId="104">
      <alignment horizontal="left" vertical="center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73" fillId="0" borderId="114" applyNumberFormat="0" applyFill="0" applyAlignment="0" applyProtection="0"/>
    <xf numFmtId="0" fontId="73" fillId="0" borderId="0" applyNumberFormat="0" applyFill="0" applyBorder="0" applyAlignment="0" applyProtection="0"/>
    <xf numFmtId="37" fontId="90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4" fillId="55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76" fillId="18" borderId="109" applyNumberFormat="0" applyAlignment="0" applyProtection="0"/>
    <xf numFmtId="10" fontId="48" fillId="56" borderId="103" applyNumberFormat="0" applyBorder="0" applyAlignment="0" applyProtection="0"/>
    <xf numFmtId="0" fontId="48" fillId="0" borderId="14" applyNumberFormat="0" applyFill="0" applyBorder="0" applyAlignment="0">
      <alignment vertical="center"/>
    </xf>
    <xf numFmtId="183" fontId="6" fillId="0" borderId="0" applyFill="0" applyBorder="0" applyAlignment="0"/>
    <xf numFmtId="183" fontId="6" fillId="0" borderId="0" applyFill="0" applyBorder="0" applyAlignment="0"/>
    <xf numFmtId="184" fontId="56" fillId="0" borderId="0" applyFill="0" applyBorder="0" applyAlignment="0"/>
    <xf numFmtId="183" fontId="6" fillId="0" borderId="0" applyFill="0" applyBorder="0" applyAlignment="0"/>
    <xf numFmtId="183" fontId="6" fillId="0" borderId="0" applyFill="0" applyBorder="0" applyAlignment="0"/>
    <xf numFmtId="187" fontId="6" fillId="0" borderId="0" applyFill="0" applyBorder="0" applyAlignment="0"/>
    <xf numFmtId="187" fontId="6" fillId="0" borderId="0" applyFill="0" applyBorder="0" applyAlignment="0"/>
    <xf numFmtId="184" fontId="56" fillId="0" borderId="0" applyFill="0" applyBorder="0" applyAlignment="0"/>
    <xf numFmtId="0" fontId="60" fillId="0" borderId="111" applyNumberFormat="0" applyFill="0" applyAlignment="0" applyProtection="0"/>
    <xf numFmtId="0" fontId="95" fillId="0" borderId="0" applyNumberFormat="0" applyFill="0" applyBorder="0" applyAlignment="0"/>
    <xf numFmtId="173" fontId="49" fillId="0" borderId="0" applyFill="0" applyBorder="0"/>
    <xf numFmtId="184" fontId="96" fillId="0" borderId="106" applyNumberFormat="0" applyFont="0">
      <alignment horizontal="center"/>
    </xf>
    <xf numFmtId="164" fontId="6" fillId="0" borderId="0" applyFont="0" applyFill="0" applyBorder="0" applyAlignment="0" applyProtection="0"/>
    <xf numFmtId="38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213" fontId="84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213" fontId="84" fillId="0" borderId="0" applyFont="0" applyFill="0" applyBorder="0" applyAlignment="0" applyProtection="0"/>
    <xf numFmtId="213" fontId="84" fillId="0" borderId="0" applyFont="0" applyFill="0" applyBorder="0" applyAlignment="0" applyProtection="0"/>
    <xf numFmtId="184" fontId="97" fillId="0" borderId="0" applyFont="0" applyProtection="0">
      <protection hidden="1"/>
    </xf>
    <xf numFmtId="214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6" fontId="84" fillId="0" borderId="0" applyFont="0" applyFill="0" applyBorder="0" applyAlignment="0" applyProtection="0"/>
    <xf numFmtId="181" fontId="46" fillId="0" borderId="0" applyFont="0" applyFill="0" applyBorder="0" applyAlignment="0" applyProtection="0"/>
    <xf numFmtId="181" fontId="46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6" fillId="0" borderId="0" applyFont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7" fontId="6" fillId="0" borderId="0" applyFill="0" applyBorder="0" applyAlignment="0" applyProtection="0"/>
    <xf numFmtId="218" fontId="69" fillId="0" borderId="0">
      <protection locked="0"/>
    </xf>
    <xf numFmtId="219" fontId="6" fillId="0" borderId="0" applyFill="0" applyBorder="0" applyAlignment="0" applyProtection="0"/>
    <xf numFmtId="219" fontId="6" fillId="0" borderId="0" applyFill="0" applyBorder="0" applyAlignment="0" applyProtection="0"/>
    <xf numFmtId="219" fontId="6" fillId="0" borderId="0" applyFill="0" applyBorder="0" applyAlignment="0" applyProtection="0"/>
    <xf numFmtId="219" fontId="6" fillId="0" borderId="0" applyFill="0" applyBorder="0" applyAlignment="0" applyProtection="0"/>
    <xf numFmtId="219" fontId="6" fillId="0" borderId="0" applyFill="0" applyBorder="0" applyAlignment="0" applyProtection="0"/>
    <xf numFmtId="219" fontId="6" fillId="0" borderId="0" applyFill="0" applyBorder="0" applyAlignment="0" applyProtection="0"/>
    <xf numFmtId="219" fontId="6" fillId="0" borderId="0" applyFill="0" applyBorder="0" applyAlignment="0" applyProtection="0"/>
    <xf numFmtId="218" fontId="69" fillId="0" borderId="0">
      <protection locked="0"/>
    </xf>
    <xf numFmtId="220" fontId="6" fillId="0" borderId="0" applyFill="0" applyBorder="0" applyAlignment="0" applyProtection="0"/>
    <xf numFmtId="221" fontId="6" fillId="0" borderId="0" applyFont="0" applyFill="0" applyBorder="0" applyAlignment="0" applyProtection="0"/>
    <xf numFmtId="221" fontId="6" fillId="0" borderId="0" applyFont="0" applyFill="0" applyBorder="0" applyAlignment="0" applyProtection="0"/>
    <xf numFmtId="221" fontId="6" fillId="0" borderId="0" applyFont="0" applyFill="0" applyBorder="0" applyAlignment="0" applyProtection="0"/>
    <xf numFmtId="221" fontId="6" fillId="0" borderId="0" applyFont="0" applyFill="0" applyBorder="0" applyAlignment="0" applyProtection="0"/>
    <xf numFmtId="221" fontId="6" fillId="0" borderId="0" applyFont="0" applyFill="0" applyBorder="0" applyAlignment="0" applyProtection="0"/>
    <xf numFmtId="221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0" fontId="6" fillId="0" borderId="0" applyFill="0" applyBorder="0" applyAlignment="0" applyProtection="0"/>
    <xf numFmtId="221" fontId="6" fillId="0" borderId="0" applyFont="0" applyFill="0" applyBorder="0" applyAlignment="0" applyProtection="0"/>
    <xf numFmtId="223" fontId="2" fillId="0" borderId="0">
      <alignment horizontal="center"/>
    </xf>
    <xf numFmtId="0" fontId="98" fillId="57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0" fontId="98" fillId="28" borderId="0" applyNumberFormat="0" applyBorder="0" applyAlignment="0" applyProtection="0"/>
    <xf numFmtId="37" fontId="99" fillId="0" borderId="0"/>
    <xf numFmtId="0" fontId="10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0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03" fillId="0" borderId="0" applyNumberFormat="0" applyFill="0" applyBorder="0" applyProtection="0">
      <alignment vertical="top" wrapText="1"/>
    </xf>
    <xf numFmtId="0" fontId="6" fillId="0" borderId="0"/>
    <xf numFmtId="0" fontId="1" fillId="0" borderId="0"/>
    <xf numFmtId="0" fontId="6" fillId="0" borderId="0"/>
    <xf numFmtId="0" fontId="102" fillId="0" borderId="0"/>
    <xf numFmtId="0" fontId="8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03" fillId="0" borderId="0" applyNumberFormat="0" applyFill="0" applyBorder="0" applyProtection="0">
      <alignment vertical="top" wrapText="1"/>
    </xf>
    <xf numFmtId="0" fontId="84" fillId="0" borderId="0"/>
    <xf numFmtId="165" fontId="1" fillId="0" borderId="0" applyFont="0" applyFill="0" applyBorder="0" applyAlignment="0" applyProtection="0"/>
    <xf numFmtId="0" fontId="6" fillId="0" borderId="0"/>
    <xf numFmtId="0" fontId="84" fillId="0" borderId="0"/>
    <xf numFmtId="0" fontId="84" fillId="0" borderId="0"/>
    <xf numFmtId="0" fontId="6" fillId="19" borderId="115" applyNumberFormat="0" applyFont="0" applyAlignment="0" applyProtection="0"/>
    <xf numFmtId="0" fontId="6" fillId="19" borderId="115" applyNumberFormat="0" applyFont="0" applyAlignment="0" applyProtection="0"/>
    <xf numFmtId="0" fontId="6" fillId="19" borderId="115" applyNumberFormat="0" applyFont="0" applyAlignment="0" applyProtection="0"/>
    <xf numFmtId="0" fontId="6" fillId="19" borderId="115" applyNumberFormat="0" applyFont="0" applyAlignment="0" applyProtection="0"/>
    <xf numFmtId="0" fontId="6" fillId="19" borderId="115" applyNumberFormat="0" applyFont="0" applyAlignment="0" applyProtection="0"/>
    <xf numFmtId="0" fontId="6" fillId="0" borderId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17" borderId="116" applyNumberFormat="0" applyAlignment="0" applyProtection="0"/>
    <xf numFmtId="10" fontId="6" fillId="0" borderId="0" applyFill="0" applyBorder="0" applyAlignment="0" applyProtection="0"/>
    <xf numFmtId="186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7" fillId="0" borderId="117" applyNumberFormat="0" applyFill="0" applyAlignment="0" applyProtection="0"/>
    <xf numFmtId="0" fontId="7" fillId="0" borderId="117" applyNumberFormat="0" applyFill="0" applyAlignment="0" applyProtection="0"/>
    <xf numFmtId="0" fontId="7" fillId="0" borderId="117" applyNumberFormat="0" applyFill="0" applyAlignment="0" applyProtection="0"/>
    <xf numFmtId="0" fontId="7" fillId="0" borderId="117" applyNumberFormat="0" applyFill="0" applyAlignment="0" applyProtection="0"/>
    <xf numFmtId="0" fontId="7" fillId="0" borderId="117" applyNumberFormat="0" applyFill="0" applyAlignment="0" applyProtection="0"/>
    <xf numFmtId="10" fontId="6" fillId="0" borderId="0" applyFill="0" applyBorder="0" applyAlignment="0" applyProtection="0"/>
    <xf numFmtId="224" fontId="6" fillId="0" borderId="0" applyFont="0" applyFill="0" applyBorder="0" applyAlignment="0" applyProtection="0"/>
    <xf numFmtId="225" fontId="65" fillId="0" borderId="40">
      <alignment horizontal="center"/>
    </xf>
    <xf numFmtId="9" fontId="6" fillId="0" borderId="0" applyFill="0" applyBorder="0" applyAlignment="0"/>
    <xf numFmtId="9" fontId="6" fillId="0" borderId="0" applyFill="0" applyBorder="0" applyAlignment="0"/>
    <xf numFmtId="0" fontId="49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3" fontId="6" fillId="0" borderId="0" applyFill="0" applyBorder="0" applyAlignment="0"/>
    <xf numFmtId="183" fontId="6" fillId="0" borderId="0" applyFill="0" applyBorder="0" applyAlignment="0"/>
    <xf numFmtId="184" fontId="56" fillId="0" borderId="0" applyFill="0" applyBorder="0" applyAlignment="0"/>
    <xf numFmtId="183" fontId="6" fillId="0" borderId="0" applyFill="0" applyBorder="0" applyAlignment="0"/>
    <xf numFmtId="183" fontId="6" fillId="0" borderId="0" applyFill="0" applyBorder="0" applyAlignment="0"/>
    <xf numFmtId="187" fontId="6" fillId="0" borderId="0" applyFill="0" applyBorder="0" applyAlignment="0"/>
    <xf numFmtId="187" fontId="6" fillId="0" borderId="0" applyFill="0" applyBorder="0" applyAlignment="0"/>
    <xf numFmtId="184" fontId="56" fillId="0" borderId="0" applyFill="0" applyBorder="0" applyAlignment="0"/>
    <xf numFmtId="39" fontId="6" fillId="0" borderId="0" applyFill="0" applyBorder="0" applyAlignment="0" applyProtection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39" fontId="6" fillId="0" borderId="0" applyFill="0" applyBorder="0" applyAlignment="0" applyProtection="0"/>
    <xf numFmtId="37" fontId="6" fillId="0" borderId="0" applyFill="0" applyBorder="0" applyAlignment="0" applyProtection="0"/>
    <xf numFmtId="0" fontId="49" fillId="0" borderId="0"/>
    <xf numFmtId="0" fontId="64" fillId="0" borderId="0"/>
    <xf numFmtId="0" fontId="49" fillId="0" borderId="0"/>
    <xf numFmtId="0" fontId="64" fillId="0" borderId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7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3" fontId="6" fillId="0" borderId="0" applyFill="0" applyBorder="0" applyAlignment="0" applyProtection="0"/>
    <xf numFmtId="0" fontId="49" fillId="0" borderId="0"/>
    <xf numFmtId="0" fontId="64" fillId="0" borderId="0"/>
    <xf numFmtId="0" fontId="49" fillId="0" borderId="0"/>
    <xf numFmtId="37" fontId="107" fillId="0" borderId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226" fontId="6" fillId="0" borderId="0" applyFont="0" applyFill="0" applyBorder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118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5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7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19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0" borderId="120" applyNumberFormat="0" applyFont="0" applyFill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1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0" fontId="6" fillId="0" borderId="122" applyNumberFormat="0" applyFont="0" applyFill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46" fontId="6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23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7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96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115" applyNumberFormat="0" applyFont="0" applyFill="0" applyAlignment="0" applyProtection="0"/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6" fillId="0" borderId="0" applyNumberFormat="0" applyFont="0" applyFill="0" applyBorder="0" applyProtection="0">
      <alignment horizontal="center"/>
    </xf>
    <xf numFmtId="0" fontId="2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Protection="0">
      <alignment horizontal="left"/>
    </xf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6" fillId="17" borderId="0" applyNumberFormat="0" applyFont="0" applyBorder="0" applyAlignment="0" applyProtection="0"/>
    <xf numFmtId="0" fontId="8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24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0" fontId="6" fillId="0" borderId="105" applyNumberFormat="0" applyFont="0" applyFill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227" fontId="6" fillId="0" borderId="0" applyFont="0" applyFill="0" applyBorder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82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25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0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07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6" fillId="0" borderId="126" applyNumberFormat="0" applyFont="0" applyFill="0" applyAlignment="0" applyProtection="0"/>
    <xf numFmtId="0" fontId="106" fillId="58" borderId="116" applyNumberFormat="0" applyAlignment="0" applyProtection="0"/>
    <xf numFmtId="0" fontId="106" fillId="26" borderId="116" applyNumberFormat="0" applyAlignment="0" applyProtection="0"/>
    <xf numFmtId="0" fontId="106" fillId="26" borderId="116" applyNumberFormat="0" applyAlignment="0" applyProtection="0"/>
    <xf numFmtId="0" fontId="106" fillId="26" borderId="116" applyNumberFormat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48" fillId="0" borderId="0" applyNumberFormat="0" applyFill="0" applyBorder="0">
      <alignment vertical="center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05" fontId="6" fillId="0" borderId="0" applyFont="0" applyFill="0" applyBorder="0" applyAlignment="0" applyProtection="0"/>
    <xf numFmtId="0" fontId="49" fillId="0" borderId="108" applyNumberFormat="0" applyFill="0" applyAlignment="0" applyProtection="0"/>
    <xf numFmtId="0" fontId="49" fillId="0" borderId="108" applyNumberFormat="0" applyFill="0" applyAlignment="0" applyProtection="0"/>
    <xf numFmtId="0" fontId="104" fillId="0" borderId="0" applyNumberFormat="0" applyFill="0" applyBorder="0" applyAlignment="0" applyProtection="0"/>
    <xf numFmtId="0" fontId="110" fillId="0" borderId="0" applyNumberFormat="0" applyBorder="0">
      <alignment horizontal="centerContinuous"/>
    </xf>
    <xf numFmtId="49" fontId="68" fillId="0" borderId="0" applyFill="0" applyBorder="0" applyAlignment="0"/>
    <xf numFmtId="224" fontId="6" fillId="0" borderId="0" applyFill="0" applyBorder="0" applyAlignment="0"/>
    <xf numFmtId="224" fontId="6" fillId="0" borderId="0" applyFill="0" applyBorder="0" applyAlignment="0"/>
    <xf numFmtId="228" fontId="6" fillId="0" borderId="0" applyFill="0" applyBorder="0" applyAlignment="0"/>
    <xf numFmtId="228" fontId="6" fillId="0" borderId="0" applyFill="0" applyBorder="0" applyAlignment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229" fontId="112" fillId="0" borderId="0" applyFill="0" applyBorder="0" applyAlignment="0"/>
    <xf numFmtId="0" fontId="113" fillId="0" borderId="127" applyNumberFormat="0" applyFill="0" applyAlignment="0" applyProtection="0"/>
    <xf numFmtId="0" fontId="113" fillId="0" borderId="127" applyNumberFormat="0" applyFill="0" applyAlignment="0" applyProtection="0"/>
    <xf numFmtId="0" fontId="113" fillId="0" borderId="127" applyNumberFormat="0" applyFill="0" applyAlignment="0" applyProtection="0"/>
    <xf numFmtId="0" fontId="113" fillId="0" borderId="127" applyNumberFormat="0" applyFill="0" applyAlignment="0" applyProtection="0"/>
    <xf numFmtId="0" fontId="114" fillId="0" borderId="128" applyNumberFormat="0" applyFill="0" applyAlignment="0" applyProtection="0"/>
    <xf numFmtId="0" fontId="114" fillId="0" borderId="128" applyNumberFormat="0" applyFill="0" applyAlignment="0" applyProtection="0"/>
    <xf numFmtId="0" fontId="114" fillId="0" borderId="128" applyNumberFormat="0" applyFill="0" applyAlignment="0" applyProtection="0"/>
    <xf numFmtId="0" fontId="114" fillId="0" borderId="128" applyNumberFormat="0" applyFill="0" applyAlignment="0" applyProtection="0"/>
    <xf numFmtId="0" fontId="74" fillId="0" borderId="129" applyNumberFormat="0" applyFill="0" applyAlignment="0" applyProtection="0"/>
    <xf numFmtId="0" fontId="74" fillId="0" borderId="129" applyNumberFormat="0" applyFill="0" applyAlignment="0" applyProtection="0"/>
    <xf numFmtId="0" fontId="74" fillId="0" borderId="129" applyNumberFormat="0" applyFill="0" applyAlignment="0" applyProtection="0"/>
    <xf numFmtId="0" fontId="74" fillId="0" borderId="129" applyNumberFormat="0" applyFill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" fontId="7" fillId="0" borderId="0" applyFill="0" applyBorder="0" applyAlignment="0"/>
    <xf numFmtId="1" fontId="7" fillId="0" borderId="0" applyFill="0" applyBorder="0" applyAlignment="0"/>
    <xf numFmtId="1" fontId="7" fillId="0" borderId="0" applyFill="0" applyBorder="0" applyAlignment="0"/>
    <xf numFmtId="1" fontId="7" fillId="0" borderId="0" applyFill="0" applyBorder="0" applyAlignment="0"/>
    <xf numFmtId="1" fontId="7" fillId="0" borderId="0" applyFill="0" applyBorder="0" applyAlignment="0"/>
    <xf numFmtId="1" fontId="7" fillId="0" borderId="0" applyFill="0" applyBorder="0" applyAlignment="0"/>
    <xf numFmtId="0" fontId="6" fillId="0" borderId="130" applyNumberFormat="0" applyFont="0" applyFill="0" applyAlignment="0" applyProtection="0"/>
    <xf numFmtId="0" fontId="63" fillId="0" borderId="130" applyNumberFormat="0" applyFont="0" applyFill="0" applyAlignment="0" applyProtection="0"/>
    <xf numFmtId="204" fontId="69" fillId="0" borderId="131">
      <protection locked="0"/>
    </xf>
    <xf numFmtId="204" fontId="69" fillId="0" borderId="131">
      <protection locked="0"/>
    </xf>
    <xf numFmtId="0" fontId="6" fillId="0" borderId="130" applyNumberFormat="0" applyFont="0" applyFill="0" applyAlignment="0" applyProtection="0"/>
    <xf numFmtId="0" fontId="6" fillId="0" borderId="130" applyNumberFormat="0" applyFont="0" applyFill="0" applyAlignment="0" applyProtection="0"/>
    <xf numFmtId="0" fontId="6" fillId="0" borderId="130" applyNumberFormat="0" applyFont="0" applyFill="0" applyAlignment="0" applyProtection="0"/>
    <xf numFmtId="0" fontId="63" fillId="0" borderId="130" applyNumberFormat="0" applyFont="0" applyFill="0" applyAlignment="0" applyProtection="0"/>
    <xf numFmtId="0" fontId="111" fillId="0" borderId="0" applyNumberFormat="0" applyFill="0" applyBorder="0" applyAlignment="0" applyProtection="0"/>
    <xf numFmtId="230" fontId="2" fillId="0" borderId="0"/>
    <xf numFmtId="0" fontId="117" fillId="0" borderId="0" applyNumberFormat="0" applyFont="0" applyFill="0" applyBorder="0" applyProtection="0">
      <alignment horizontal="center" vertical="center"/>
    </xf>
    <xf numFmtId="231" fontId="6" fillId="0" borderId="0">
      <alignment horizontal="right"/>
    </xf>
    <xf numFmtId="232" fontId="118" fillId="0" borderId="0">
      <alignment horizontal="center"/>
    </xf>
    <xf numFmtId="0" fontId="58" fillId="33" borderId="135" applyNumberFormat="0" applyAlignment="0" applyProtection="0"/>
    <xf numFmtId="0" fontId="58" fillId="33" borderId="135" applyNumberFormat="0" applyAlignment="0" applyProtection="0"/>
    <xf numFmtId="0" fontId="58" fillId="33" borderId="135" applyNumberFormat="0" applyAlignment="0" applyProtection="0"/>
    <xf numFmtId="0" fontId="58" fillId="33" borderId="135" applyNumberFormat="0" applyAlignment="0" applyProtection="0"/>
    <xf numFmtId="188" fontId="61" fillId="0" borderId="136">
      <alignment horizontal="center"/>
      <protection locked="0"/>
    </xf>
    <xf numFmtId="0" fontId="62" fillId="33" borderId="135" applyNumberFormat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0" fontId="7" fillId="0" borderId="132" applyNumberFormat="0" applyFill="0" applyAlignment="0" applyProtection="0"/>
    <xf numFmtId="38" fontId="2" fillId="0" borderId="137">
      <alignment vertical="center"/>
    </xf>
    <xf numFmtId="0" fontId="70" fillId="0" borderId="136" applyNumberFormat="0" applyBorder="0" applyAlignment="0">
      <alignment horizontal="left" vertical="top"/>
    </xf>
    <xf numFmtId="0" fontId="8" fillId="0" borderId="138">
      <alignment horizontal="left" vertical="center"/>
    </xf>
    <xf numFmtId="10" fontId="48" fillId="56" borderId="136" applyNumberFormat="0" applyBorder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139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81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33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40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2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34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1" applyNumberFormat="0" applyFont="0" applyFill="0" applyAlignment="0" applyProtection="0"/>
    <xf numFmtId="0" fontId="6" fillId="0" borderId="142" applyNumberFormat="0" applyFont="0" applyFill="0" applyAlignment="0" applyProtection="0"/>
    <xf numFmtId="0" fontId="63" fillId="0" borderId="142" applyNumberFormat="0" applyFont="0" applyFill="0" applyAlignment="0" applyProtection="0"/>
    <xf numFmtId="204" fontId="69" fillId="0" borderId="143">
      <protection locked="0"/>
    </xf>
    <xf numFmtId="204" fontId="69" fillId="0" borderId="143">
      <protection locked="0"/>
    </xf>
    <xf numFmtId="0" fontId="6" fillId="0" borderId="142" applyNumberFormat="0" applyFont="0" applyFill="0" applyAlignment="0" applyProtection="0"/>
    <xf numFmtId="0" fontId="6" fillId="0" borderId="142" applyNumberFormat="0" applyFont="0" applyFill="0" applyAlignment="0" applyProtection="0"/>
    <xf numFmtId="0" fontId="6" fillId="0" borderId="142" applyNumberFormat="0" applyFont="0" applyFill="0" applyAlignment="0" applyProtection="0"/>
    <xf numFmtId="0" fontId="63" fillId="0" borderId="142" applyNumberFormat="0" applyFont="0" applyFill="0" applyAlignment="0" applyProtection="0"/>
    <xf numFmtId="165" fontId="1" fillId="0" borderId="0" applyFont="0" applyFill="0" applyBorder="0" applyAlignment="0" applyProtection="0"/>
    <xf numFmtId="0" fontId="57" fillId="17" borderId="150" applyNumberFormat="0" applyAlignment="0" applyProtection="0"/>
    <xf numFmtId="0" fontId="57" fillId="26" borderId="150" applyNumberFormat="0" applyAlignment="0" applyProtection="0"/>
    <xf numFmtId="0" fontId="57" fillId="26" borderId="150" applyNumberFormat="0" applyAlignment="0" applyProtection="0"/>
    <xf numFmtId="0" fontId="57" fillId="26" borderId="150" applyNumberFormat="0" applyAlignment="0" applyProtection="0"/>
    <xf numFmtId="0" fontId="57" fillId="26" borderId="150" applyNumberFormat="0" applyAlignment="0" applyProtection="0"/>
    <xf numFmtId="0" fontId="58" fillId="33" borderId="151" applyNumberFormat="0" applyAlignment="0" applyProtection="0"/>
    <xf numFmtId="0" fontId="58" fillId="33" borderId="151" applyNumberFormat="0" applyAlignment="0" applyProtection="0"/>
    <xf numFmtId="0" fontId="58" fillId="33" borderId="151" applyNumberFormat="0" applyAlignment="0" applyProtection="0"/>
    <xf numFmtId="0" fontId="58" fillId="33" borderId="151" applyNumberFormat="0" applyAlignment="0" applyProtection="0"/>
    <xf numFmtId="0" fontId="62" fillId="33" borderId="151" applyNumberFormat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0" fontId="7" fillId="0" borderId="147" applyNumberFormat="0" applyFill="0" applyAlignment="0" applyProtection="0"/>
    <xf numFmtId="38" fontId="2" fillId="0" borderId="152">
      <alignment vertical="center"/>
    </xf>
    <xf numFmtId="0" fontId="76" fillId="53" borderId="150" applyNumberFormat="0" applyAlignment="0" applyProtection="0"/>
    <xf numFmtId="0" fontId="76" fillId="18" borderId="150" applyNumberFormat="0" applyAlignment="0" applyProtection="0"/>
    <xf numFmtId="0" fontId="76" fillId="18" borderId="150" applyNumberFormat="0" applyAlignment="0" applyProtection="0"/>
    <xf numFmtId="0" fontId="76" fillId="18" borderId="150" applyNumberFormat="0" applyAlignment="0" applyProtection="0"/>
    <xf numFmtId="0" fontId="8" fillId="0" borderId="153">
      <alignment horizontal="left" vertical="center"/>
    </xf>
    <xf numFmtId="0" fontId="76" fillId="18" borderId="150" applyNumberFormat="0" applyAlignment="0" applyProtection="0"/>
    <xf numFmtId="164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19" borderId="154" applyNumberFormat="0" applyFont="0" applyAlignment="0" applyProtection="0"/>
    <xf numFmtId="0" fontId="6" fillId="19" borderId="154" applyNumberFormat="0" applyFont="0" applyAlignment="0" applyProtection="0"/>
    <xf numFmtId="0" fontId="6" fillId="19" borderId="154" applyNumberFormat="0" applyFont="0" applyAlignment="0" applyProtection="0"/>
    <xf numFmtId="0" fontId="6" fillId="19" borderId="154" applyNumberFormat="0" applyFont="0" applyAlignment="0" applyProtection="0"/>
    <xf numFmtId="0" fontId="6" fillId="19" borderId="154" applyNumberFormat="0" applyFont="0" applyAlignment="0" applyProtection="0"/>
    <xf numFmtId="0" fontId="106" fillId="17" borderId="155" applyNumberFormat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6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45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54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6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44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5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7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4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6" fillId="0" borderId="158" applyNumberFormat="0" applyFont="0" applyFill="0" applyAlignment="0" applyProtection="0"/>
    <xf numFmtId="0" fontId="106" fillId="58" borderId="155" applyNumberFormat="0" applyAlignment="0" applyProtection="0"/>
    <xf numFmtId="0" fontId="106" fillId="26" borderId="155" applyNumberFormat="0" applyAlignment="0" applyProtection="0"/>
    <xf numFmtId="0" fontId="106" fillId="26" borderId="155" applyNumberFormat="0" applyAlignment="0" applyProtection="0"/>
    <xf numFmtId="0" fontId="106" fillId="26" borderId="155" applyNumberFormat="0" applyAlignment="0" applyProtection="0"/>
    <xf numFmtId="0" fontId="49" fillId="0" borderId="149" applyNumberFormat="0" applyFill="0" applyAlignment="0" applyProtection="0"/>
    <xf numFmtId="0" fontId="49" fillId="0" borderId="149" applyNumberFormat="0" applyFill="0" applyAlignment="0" applyProtection="0"/>
    <xf numFmtId="204" fontId="69" fillId="0" borderId="159">
      <protection locked="0"/>
    </xf>
    <xf numFmtId="204" fontId="69" fillId="0" borderId="159">
      <protection locked="0"/>
    </xf>
    <xf numFmtId="0" fontId="57" fillId="17" borderId="171" applyNumberFormat="0" applyAlignment="0" applyProtection="0"/>
    <xf numFmtId="0" fontId="57" fillId="26" borderId="171" applyNumberFormat="0" applyAlignment="0" applyProtection="0"/>
    <xf numFmtId="0" fontId="57" fillId="26" borderId="171" applyNumberFormat="0" applyAlignment="0" applyProtection="0"/>
    <xf numFmtId="0" fontId="57" fillId="26" borderId="171" applyNumberFormat="0" applyAlignment="0" applyProtection="0"/>
    <xf numFmtId="0" fontId="57" fillId="26" borderId="171" applyNumberFormat="0" applyAlignment="0" applyProtection="0"/>
    <xf numFmtId="188" fontId="61" fillId="0" borderId="160">
      <alignment horizontal="center"/>
      <protection locked="0"/>
    </xf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0" fontId="7" fillId="0" borderId="168" applyNumberFormat="0" applyFill="0" applyAlignment="0" applyProtection="0"/>
    <xf numFmtId="200" fontId="65" fillId="0" borderId="162">
      <alignment horizontal="center"/>
    </xf>
    <xf numFmtId="0" fontId="70" fillId="0" borderId="160" applyNumberFormat="0" applyBorder="0" applyAlignment="0">
      <alignment horizontal="left" vertical="top"/>
    </xf>
    <xf numFmtId="0" fontId="76" fillId="53" borderId="171" applyNumberFormat="0" applyAlignment="0" applyProtection="0"/>
    <xf numFmtId="0" fontId="76" fillId="18" borderId="171" applyNumberFormat="0" applyAlignment="0" applyProtection="0"/>
    <xf numFmtId="0" fontId="76" fillId="18" borderId="171" applyNumberFormat="0" applyAlignment="0" applyProtection="0"/>
    <xf numFmtId="0" fontId="76" fillId="18" borderId="171" applyNumberFormat="0" applyAlignment="0" applyProtection="0"/>
    <xf numFmtId="0" fontId="87" fillId="0" borderId="162" applyNumberFormat="0" applyFill="0" applyBorder="0" applyAlignment="0"/>
    <xf numFmtId="0" fontId="76" fillId="18" borderId="171" applyNumberFormat="0" applyAlignment="0" applyProtection="0"/>
    <xf numFmtId="10" fontId="48" fillId="56" borderId="160" applyNumberFormat="0" applyBorder="0" applyAlignment="0" applyProtection="0"/>
    <xf numFmtId="0" fontId="48" fillId="0" borderId="162" applyNumberFormat="0" applyFill="0" applyBorder="0" applyAlignment="0">
      <alignment vertical="center"/>
    </xf>
    <xf numFmtId="184" fontId="96" fillId="0" borderId="161" applyNumberFormat="0" applyFont="0">
      <alignment horizontal="center"/>
    </xf>
    <xf numFmtId="0" fontId="6" fillId="19" borderId="172" applyNumberFormat="0" applyFont="0" applyAlignment="0" applyProtection="0"/>
    <xf numFmtId="0" fontId="6" fillId="19" borderId="172" applyNumberFormat="0" applyFont="0" applyAlignment="0" applyProtection="0"/>
    <xf numFmtId="0" fontId="6" fillId="19" borderId="172" applyNumberFormat="0" applyFont="0" applyAlignment="0" applyProtection="0"/>
    <xf numFmtId="0" fontId="6" fillId="19" borderId="172" applyNumberFormat="0" applyFont="0" applyAlignment="0" applyProtection="0"/>
    <xf numFmtId="0" fontId="6" fillId="19" borderId="172" applyNumberFormat="0" applyFont="0" applyAlignment="0" applyProtection="0"/>
    <xf numFmtId="0" fontId="106" fillId="17" borderId="173" applyNumberFormat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4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67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4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65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72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9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66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75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68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0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6" fillId="0" borderId="176" applyNumberFormat="0" applyFont="0" applyFill="0" applyAlignment="0" applyProtection="0"/>
    <xf numFmtId="0" fontId="106" fillId="58" borderId="173" applyNumberFormat="0" applyAlignment="0" applyProtection="0"/>
    <xf numFmtId="0" fontId="106" fillId="26" borderId="173" applyNumberFormat="0" applyAlignment="0" applyProtection="0"/>
    <xf numFmtId="0" fontId="106" fillId="26" borderId="173" applyNumberFormat="0" applyAlignment="0" applyProtection="0"/>
    <xf numFmtId="0" fontId="106" fillId="26" borderId="173" applyNumberFormat="0" applyAlignment="0" applyProtection="0"/>
    <xf numFmtId="0" fontId="49" fillId="0" borderId="153" applyNumberFormat="0" applyFill="0" applyAlignment="0" applyProtection="0"/>
    <xf numFmtId="0" fontId="49" fillId="0" borderId="153" applyNumberFormat="0" applyFill="0" applyAlignment="0" applyProtection="0"/>
    <xf numFmtId="0" fontId="6" fillId="0" borderId="163" applyNumberFormat="0" applyFont="0" applyFill="0" applyAlignment="0" applyProtection="0"/>
    <xf numFmtId="0" fontId="63" fillId="0" borderId="163" applyNumberFormat="0" applyFont="0" applyFill="0" applyAlignment="0" applyProtection="0"/>
    <xf numFmtId="204" fontId="69" fillId="0" borderId="177">
      <protection locked="0"/>
    </xf>
    <xf numFmtId="204" fontId="69" fillId="0" borderId="177">
      <protection locked="0"/>
    </xf>
    <xf numFmtId="0" fontId="6" fillId="0" borderId="163" applyNumberFormat="0" applyFont="0" applyFill="0" applyAlignment="0" applyProtection="0"/>
    <xf numFmtId="0" fontId="6" fillId="0" borderId="163" applyNumberFormat="0" applyFont="0" applyFill="0" applyAlignment="0" applyProtection="0"/>
    <xf numFmtId="0" fontId="6" fillId="0" borderId="163" applyNumberFormat="0" applyFont="0" applyFill="0" applyAlignment="0" applyProtection="0"/>
    <xf numFmtId="0" fontId="63" fillId="0" borderId="163" applyNumberFormat="0" applyFont="0" applyFill="0" applyAlignment="0" applyProtection="0"/>
    <xf numFmtId="0" fontId="57" fillId="17" borderId="184" applyNumberFormat="0" applyAlignment="0" applyProtection="0"/>
    <xf numFmtId="0" fontId="57" fillId="26" borderId="184" applyNumberFormat="0" applyAlignment="0" applyProtection="0"/>
    <xf numFmtId="0" fontId="57" fillId="26" borderId="184" applyNumberFormat="0" applyAlignment="0" applyProtection="0"/>
    <xf numFmtId="0" fontId="57" fillId="26" borderId="184" applyNumberFormat="0" applyAlignment="0" applyProtection="0"/>
    <xf numFmtId="0" fontId="57" fillId="26" borderId="184" applyNumberFormat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" fillId="0" borderId="182" applyNumberFormat="0" applyFill="0" applyAlignment="0" applyProtection="0"/>
    <xf numFmtId="0" fontId="76" fillId="53" borderId="184" applyNumberFormat="0" applyAlignment="0" applyProtection="0"/>
    <xf numFmtId="0" fontId="76" fillId="18" borderId="184" applyNumberFormat="0" applyAlignment="0" applyProtection="0"/>
    <xf numFmtId="0" fontId="76" fillId="18" borderId="184" applyNumberFormat="0" applyAlignment="0" applyProtection="0"/>
    <xf numFmtId="0" fontId="76" fillId="18" borderId="184" applyNumberFormat="0" applyAlignment="0" applyProtection="0"/>
    <xf numFmtId="0" fontId="76" fillId="18" borderId="184" applyNumberFormat="0" applyAlignment="0" applyProtection="0"/>
    <xf numFmtId="0" fontId="6" fillId="19" borderId="185" applyNumberFormat="0" applyFont="0" applyAlignment="0" applyProtection="0"/>
    <xf numFmtId="0" fontId="6" fillId="19" borderId="185" applyNumberFormat="0" applyFont="0" applyAlignment="0" applyProtection="0"/>
    <xf numFmtId="0" fontId="6" fillId="19" borderId="185" applyNumberFormat="0" applyFont="0" applyAlignment="0" applyProtection="0"/>
    <xf numFmtId="0" fontId="6" fillId="19" borderId="185" applyNumberFormat="0" applyFont="0" applyAlignment="0" applyProtection="0"/>
    <xf numFmtId="0" fontId="6" fillId="19" borderId="185" applyNumberFormat="0" applyFont="0" applyAlignment="0" applyProtection="0"/>
    <xf numFmtId="0" fontId="106" fillId="17" borderId="186" applyNumberFormat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7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8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9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0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5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81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79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90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2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83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6" fillId="0" borderId="191" applyNumberFormat="0" applyFont="0" applyFill="0" applyAlignment="0" applyProtection="0"/>
    <xf numFmtId="0" fontId="106" fillId="58" borderId="186" applyNumberFormat="0" applyAlignment="0" applyProtection="0"/>
    <xf numFmtId="0" fontId="106" fillId="26" borderId="186" applyNumberFormat="0" applyAlignment="0" applyProtection="0"/>
    <xf numFmtId="0" fontId="106" fillId="26" borderId="186" applyNumberFormat="0" applyAlignment="0" applyProtection="0"/>
    <xf numFmtId="0" fontId="106" fillId="26" borderId="186" applyNumberFormat="0" applyAlignment="0" applyProtection="0"/>
    <xf numFmtId="0" fontId="49" fillId="0" borderId="138" applyNumberFormat="0" applyFill="0" applyAlignment="0" applyProtection="0"/>
    <xf numFmtId="0" fontId="49" fillId="0" borderId="138" applyNumberFormat="0" applyFill="0" applyAlignment="0" applyProtection="0"/>
    <xf numFmtId="0" fontId="6" fillId="0" borderId="178" applyNumberFormat="0" applyFont="0" applyFill="0" applyAlignment="0" applyProtection="0"/>
    <xf numFmtId="0" fontId="63" fillId="0" borderId="178" applyNumberFormat="0" applyFont="0" applyFill="0" applyAlignment="0" applyProtection="0"/>
    <xf numFmtId="204" fontId="69" fillId="0" borderId="192">
      <protection locked="0"/>
    </xf>
    <xf numFmtId="204" fontId="69" fillId="0" borderId="192">
      <protection locked="0"/>
    </xf>
    <xf numFmtId="0" fontId="6" fillId="0" borderId="178" applyNumberFormat="0" applyFont="0" applyFill="0" applyAlignment="0" applyProtection="0"/>
    <xf numFmtId="0" fontId="6" fillId="0" borderId="178" applyNumberFormat="0" applyFont="0" applyFill="0" applyAlignment="0" applyProtection="0"/>
    <xf numFmtId="0" fontId="6" fillId="0" borderId="178" applyNumberFormat="0" applyFont="0" applyFill="0" applyAlignment="0" applyProtection="0"/>
    <xf numFmtId="0" fontId="63" fillId="0" borderId="178" applyNumberFormat="0" applyFont="0" applyFill="0" applyAlignment="0" applyProtection="0"/>
    <xf numFmtId="0" fontId="57" fillId="17" borderId="199" applyNumberFormat="0" applyAlignment="0" applyProtection="0"/>
    <xf numFmtId="0" fontId="57" fillId="26" borderId="199" applyNumberFormat="0" applyAlignment="0" applyProtection="0"/>
    <xf numFmtId="0" fontId="57" fillId="26" borderId="199" applyNumberFormat="0" applyAlignment="0" applyProtection="0"/>
    <xf numFmtId="0" fontId="57" fillId="26" borderId="199" applyNumberFormat="0" applyAlignment="0" applyProtection="0"/>
    <xf numFmtId="0" fontId="57" fillId="26" borderId="199" applyNumberFormat="0" applyAlignment="0" applyProtection="0"/>
    <xf numFmtId="188" fontId="61" fillId="0" borderId="200">
      <alignment horizontal="center"/>
      <protection locked="0"/>
    </xf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" fillId="0" borderId="196" applyNumberFormat="0" applyFill="0" applyAlignment="0" applyProtection="0"/>
    <xf numFmtId="0" fontId="70" fillId="0" borderId="200" applyNumberFormat="0" applyBorder="0" applyAlignment="0">
      <alignment horizontal="left" vertical="top"/>
    </xf>
    <xf numFmtId="0" fontId="76" fillId="53" borderId="199" applyNumberFormat="0" applyAlignment="0" applyProtection="0"/>
    <xf numFmtId="0" fontId="76" fillId="18" borderId="199" applyNumberFormat="0" applyAlignment="0" applyProtection="0"/>
    <xf numFmtId="0" fontId="76" fillId="18" borderId="199" applyNumberFormat="0" applyAlignment="0" applyProtection="0"/>
    <xf numFmtId="0" fontId="76" fillId="18" borderId="199" applyNumberFormat="0" applyAlignment="0" applyProtection="0"/>
    <xf numFmtId="0" fontId="8" fillId="0" borderId="201">
      <alignment horizontal="left" vertical="center"/>
    </xf>
    <xf numFmtId="0" fontId="76" fillId="18" borderId="199" applyNumberFormat="0" applyAlignment="0" applyProtection="0"/>
    <xf numFmtId="10" fontId="48" fillId="56" borderId="200" applyNumberFormat="0" applyBorder="0" applyAlignment="0" applyProtection="0"/>
    <xf numFmtId="0" fontId="6" fillId="19" borderId="202" applyNumberFormat="0" applyFont="0" applyAlignment="0" applyProtection="0"/>
    <xf numFmtId="0" fontId="6" fillId="19" borderId="202" applyNumberFormat="0" applyFont="0" applyAlignment="0" applyProtection="0"/>
    <xf numFmtId="0" fontId="6" fillId="19" borderId="202" applyNumberFormat="0" applyFont="0" applyAlignment="0" applyProtection="0"/>
    <xf numFmtId="0" fontId="6" fillId="19" borderId="202" applyNumberFormat="0" applyFont="0" applyAlignment="0" applyProtection="0"/>
    <xf numFmtId="0" fontId="6" fillId="19" borderId="202" applyNumberFormat="0" applyFont="0" applyAlignment="0" applyProtection="0"/>
    <xf numFmtId="0" fontId="106" fillId="17" borderId="203" applyNumberFormat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4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194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202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5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193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205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6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197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6" fillId="0" borderId="206" applyNumberFormat="0" applyFont="0" applyFill="0" applyAlignment="0" applyProtection="0"/>
    <xf numFmtId="0" fontId="106" fillId="58" borderId="203" applyNumberFormat="0" applyAlignment="0" applyProtection="0"/>
    <xf numFmtId="0" fontId="106" fillId="26" borderId="203" applyNumberFormat="0" applyAlignment="0" applyProtection="0"/>
    <xf numFmtId="0" fontId="106" fillId="26" borderId="203" applyNumberFormat="0" applyAlignment="0" applyProtection="0"/>
    <xf numFmtId="0" fontId="106" fillId="26" borderId="203" applyNumberFormat="0" applyAlignment="0" applyProtection="0"/>
    <xf numFmtId="0" fontId="49" fillId="0" borderId="198" applyNumberFormat="0" applyFill="0" applyAlignment="0" applyProtection="0"/>
    <xf numFmtId="0" fontId="49" fillId="0" borderId="198" applyNumberFormat="0" applyFill="0" applyAlignment="0" applyProtection="0"/>
    <xf numFmtId="204" fontId="69" fillId="0" borderId="207">
      <protection locked="0"/>
    </xf>
    <xf numFmtId="204" fontId="69" fillId="0" borderId="207">
      <protection locked="0"/>
    </xf>
    <xf numFmtId="0" fontId="57" fillId="17" borderId="215" applyNumberFormat="0" applyAlignment="0" applyProtection="0"/>
    <xf numFmtId="0" fontId="57" fillId="26" borderId="215" applyNumberFormat="0" applyAlignment="0" applyProtection="0"/>
    <xf numFmtId="0" fontId="57" fillId="26" borderId="215" applyNumberFormat="0" applyAlignment="0" applyProtection="0"/>
    <xf numFmtId="0" fontId="57" fillId="26" borderId="215" applyNumberFormat="0" applyAlignment="0" applyProtection="0"/>
    <xf numFmtId="0" fontId="57" fillId="26" borderId="215" applyNumberFormat="0" applyAlignment="0" applyProtection="0"/>
    <xf numFmtId="188" fontId="61" fillId="0" borderId="216">
      <alignment horizontal="center"/>
      <protection locked="0"/>
    </xf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" fillId="0" borderId="212" applyNumberFormat="0" applyFill="0" applyAlignment="0" applyProtection="0"/>
    <xf numFmtId="0" fontId="70" fillId="0" borderId="216" applyNumberFormat="0" applyBorder="0" applyAlignment="0">
      <alignment horizontal="left" vertical="top"/>
    </xf>
    <xf numFmtId="0" fontId="76" fillId="53" borderId="215" applyNumberFormat="0" applyAlignment="0" applyProtection="0"/>
    <xf numFmtId="0" fontId="76" fillId="18" borderId="215" applyNumberFormat="0" applyAlignment="0" applyProtection="0"/>
    <xf numFmtId="0" fontId="76" fillId="18" borderId="215" applyNumberFormat="0" applyAlignment="0" applyProtection="0"/>
    <xf numFmtId="0" fontId="76" fillId="18" borderId="215" applyNumberFormat="0" applyAlignment="0" applyProtection="0"/>
    <xf numFmtId="0" fontId="8" fillId="0" borderId="217">
      <alignment horizontal="left" vertical="center"/>
    </xf>
    <xf numFmtId="0" fontId="76" fillId="18" borderId="215" applyNumberFormat="0" applyAlignment="0" applyProtection="0"/>
    <xf numFmtId="10" fontId="48" fillId="56" borderId="216" applyNumberFormat="0" applyBorder="0" applyAlignment="0" applyProtection="0"/>
    <xf numFmtId="0" fontId="6" fillId="19" borderId="218" applyNumberFormat="0" applyFont="0" applyAlignment="0" applyProtection="0"/>
    <xf numFmtId="0" fontId="6" fillId="19" borderId="218" applyNumberFormat="0" applyFont="0" applyAlignment="0" applyProtection="0"/>
    <xf numFmtId="0" fontId="6" fillId="19" borderId="218" applyNumberFormat="0" applyFont="0" applyAlignment="0" applyProtection="0"/>
    <xf numFmtId="0" fontId="6" fillId="19" borderId="218" applyNumberFormat="0" applyFont="0" applyAlignment="0" applyProtection="0"/>
    <xf numFmtId="0" fontId="6" fillId="19" borderId="218" applyNumberFormat="0" applyFont="0" applyAlignment="0" applyProtection="0"/>
    <xf numFmtId="0" fontId="106" fillId="17" borderId="219" applyNumberFormat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20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0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8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3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1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21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2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14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6" fillId="0" borderId="222" applyNumberFormat="0" applyFont="0" applyFill="0" applyAlignment="0" applyProtection="0"/>
    <xf numFmtId="0" fontId="106" fillId="58" borderId="219" applyNumberFormat="0" applyAlignment="0" applyProtection="0"/>
    <xf numFmtId="0" fontId="106" fillId="26" borderId="219" applyNumberFormat="0" applyAlignment="0" applyProtection="0"/>
    <xf numFmtId="0" fontId="106" fillId="26" borderId="219" applyNumberFormat="0" applyAlignment="0" applyProtection="0"/>
    <xf numFmtId="0" fontId="106" fillId="26" borderId="219" applyNumberFormat="0" applyAlignment="0" applyProtection="0"/>
    <xf numFmtId="0" fontId="49" fillId="0" borderId="209" applyNumberFormat="0" applyFill="0" applyAlignment="0" applyProtection="0"/>
    <xf numFmtId="0" fontId="49" fillId="0" borderId="209" applyNumberFormat="0" applyFill="0" applyAlignment="0" applyProtection="0"/>
    <xf numFmtId="0" fontId="6" fillId="0" borderId="208" applyNumberFormat="0" applyFont="0" applyFill="0" applyAlignment="0" applyProtection="0"/>
    <xf numFmtId="0" fontId="63" fillId="0" borderId="208" applyNumberFormat="0" applyFont="0" applyFill="0" applyAlignment="0" applyProtection="0"/>
    <xf numFmtId="204" fontId="69" fillId="0" borderId="223">
      <protection locked="0"/>
    </xf>
    <xf numFmtId="204" fontId="69" fillId="0" borderId="223">
      <protection locked="0"/>
    </xf>
    <xf numFmtId="0" fontId="6" fillId="0" borderId="208" applyNumberFormat="0" applyFont="0" applyFill="0" applyAlignment="0" applyProtection="0"/>
    <xf numFmtId="0" fontId="6" fillId="0" borderId="208" applyNumberFormat="0" applyFont="0" applyFill="0" applyAlignment="0" applyProtection="0"/>
    <xf numFmtId="0" fontId="6" fillId="0" borderId="208" applyNumberFormat="0" applyFont="0" applyFill="0" applyAlignment="0" applyProtection="0"/>
    <xf numFmtId="0" fontId="63" fillId="0" borderId="208" applyNumberFormat="0" applyFont="0" applyFill="0" applyAlignment="0" applyProtection="0"/>
    <xf numFmtId="0" fontId="76" fillId="18" borderId="215" applyNumberFormat="0" applyAlignment="0" applyProtection="0"/>
    <xf numFmtId="0" fontId="57" fillId="17" borderId="229" applyNumberFormat="0" applyAlignment="0" applyProtection="0"/>
    <xf numFmtId="0" fontId="57" fillId="26" borderId="229" applyNumberFormat="0" applyAlignment="0" applyProtection="0"/>
    <xf numFmtId="0" fontId="57" fillId="26" borderId="229" applyNumberFormat="0" applyAlignment="0" applyProtection="0"/>
    <xf numFmtId="0" fontId="57" fillId="26" borderId="229" applyNumberFormat="0" applyAlignment="0" applyProtection="0"/>
    <xf numFmtId="0" fontId="57" fillId="26" borderId="229" applyNumberFormat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" fillId="0" borderId="226" applyNumberFormat="0" applyFill="0" applyAlignment="0" applyProtection="0"/>
    <xf numFmtId="0" fontId="76" fillId="53" borderId="229" applyNumberFormat="0" applyAlignment="0" applyProtection="0"/>
    <xf numFmtId="0" fontId="76" fillId="18" borderId="229" applyNumberFormat="0" applyAlignment="0" applyProtection="0"/>
    <xf numFmtId="0" fontId="76" fillId="18" borderId="229" applyNumberFormat="0" applyAlignment="0" applyProtection="0"/>
    <xf numFmtId="0" fontId="76" fillId="18" borderId="229" applyNumberFormat="0" applyAlignment="0" applyProtection="0"/>
    <xf numFmtId="0" fontId="76" fillId="18" borderId="229" applyNumberFormat="0" applyAlignment="0" applyProtection="0"/>
    <xf numFmtId="0" fontId="6" fillId="19" borderId="230" applyNumberFormat="0" applyFont="0" applyAlignment="0" applyProtection="0"/>
    <xf numFmtId="0" fontId="6" fillId="19" borderId="230" applyNumberFormat="0" applyFont="0" applyAlignment="0" applyProtection="0"/>
    <xf numFmtId="0" fontId="6" fillId="19" borderId="230" applyNumberFormat="0" applyFont="0" applyAlignment="0" applyProtection="0"/>
    <xf numFmtId="0" fontId="6" fillId="19" borderId="230" applyNumberFormat="0" applyFont="0" applyAlignment="0" applyProtection="0"/>
    <xf numFmtId="0" fontId="6" fillId="19" borderId="230" applyNumberFormat="0" applyFont="0" applyAlignment="0" applyProtection="0"/>
    <xf numFmtId="0" fontId="106" fillId="17" borderId="231" applyNumberFormat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2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24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30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7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25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33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6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28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6" fillId="0" borderId="234" applyNumberFormat="0" applyFont="0" applyFill="0" applyAlignment="0" applyProtection="0"/>
    <xf numFmtId="0" fontId="106" fillId="58" borderId="231" applyNumberFormat="0" applyAlignment="0" applyProtection="0"/>
    <xf numFmtId="0" fontId="106" fillId="26" borderId="231" applyNumberFormat="0" applyAlignment="0" applyProtection="0"/>
    <xf numFmtId="0" fontId="106" fillId="26" borderId="231" applyNumberFormat="0" applyAlignment="0" applyProtection="0"/>
    <xf numFmtId="0" fontId="106" fillId="26" borderId="231" applyNumberFormat="0" applyAlignment="0" applyProtection="0"/>
    <xf numFmtId="0" fontId="49" fillId="0" borderId="217" applyNumberFormat="0" applyFill="0" applyAlignment="0" applyProtection="0"/>
    <xf numFmtId="0" fontId="49" fillId="0" borderId="217" applyNumberFormat="0" applyFill="0" applyAlignment="0" applyProtection="0"/>
    <xf numFmtId="204" fontId="69" fillId="0" borderId="235">
      <protection locked="0"/>
    </xf>
    <xf numFmtId="204" fontId="69" fillId="0" borderId="235">
      <protection locked="0"/>
    </xf>
    <xf numFmtId="0" fontId="57" fillId="17" borderId="239" applyNumberFormat="0" applyAlignment="0" applyProtection="0"/>
    <xf numFmtId="0" fontId="57" fillId="26" borderId="239" applyNumberFormat="0" applyAlignment="0" applyProtection="0"/>
    <xf numFmtId="0" fontId="57" fillId="26" borderId="239" applyNumberFormat="0" applyAlignment="0" applyProtection="0"/>
    <xf numFmtId="0" fontId="57" fillId="26" borderId="239" applyNumberFormat="0" applyAlignment="0" applyProtection="0"/>
    <xf numFmtId="0" fontId="57" fillId="26" borderId="239" applyNumberFormat="0" applyAlignment="0" applyProtection="0"/>
    <xf numFmtId="188" fontId="61" fillId="0" borderId="240">
      <alignment horizontal="center"/>
      <protection locked="0"/>
    </xf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" fillId="0" borderId="236" applyNumberFormat="0" applyFill="0" applyAlignment="0" applyProtection="0"/>
    <xf numFmtId="0" fontId="70" fillId="0" borderId="240" applyNumberFormat="0" applyBorder="0" applyAlignment="0">
      <alignment horizontal="left" vertical="top"/>
    </xf>
    <xf numFmtId="0" fontId="76" fillId="53" borderId="239" applyNumberFormat="0" applyAlignment="0" applyProtection="0"/>
    <xf numFmtId="0" fontId="76" fillId="18" borderId="239" applyNumberFormat="0" applyAlignment="0" applyProtection="0"/>
    <xf numFmtId="0" fontId="76" fillId="18" borderId="239" applyNumberFormat="0" applyAlignment="0" applyProtection="0"/>
    <xf numFmtId="0" fontId="76" fillId="18" borderId="239" applyNumberFormat="0" applyAlignment="0" applyProtection="0"/>
    <xf numFmtId="0" fontId="76" fillId="18" borderId="239" applyNumberFormat="0" applyAlignment="0" applyProtection="0"/>
    <xf numFmtId="10" fontId="48" fillId="56" borderId="240" applyNumberFormat="0" applyBorder="0" applyAlignment="0" applyProtection="0"/>
    <xf numFmtId="0" fontId="6" fillId="19" borderId="241" applyNumberFormat="0" applyFont="0" applyAlignment="0" applyProtection="0"/>
    <xf numFmtId="0" fontId="6" fillId="19" borderId="241" applyNumberFormat="0" applyFont="0" applyAlignment="0" applyProtection="0"/>
    <xf numFmtId="0" fontId="6" fillId="19" borderId="241" applyNumberFormat="0" applyFont="0" applyAlignment="0" applyProtection="0"/>
    <xf numFmtId="0" fontId="6" fillId="19" borderId="241" applyNumberFormat="0" applyFont="0" applyAlignment="0" applyProtection="0"/>
    <xf numFmtId="0" fontId="6" fillId="19" borderId="241" applyNumberFormat="0" applyFont="0" applyAlignment="0" applyProtection="0"/>
    <xf numFmtId="0" fontId="106" fillId="17" borderId="242" applyNumberFormat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3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41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37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44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6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38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6" fillId="0" borderId="245" applyNumberFormat="0" applyFont="0" applyFill="0" applyAlignment="0" applyProtection="0"/>
    <xf numFmtId="0" fontId="106" fillId="58" borderId="242" applyNumberFormat="0" applyAlignment="0" applyProtection="0"/>
    <xf numFmtId="0" fontId="106" fillId="26" borderId="242" applyNumberFormat="0" applyAlignment="0" applyProtection="0"/>
    <xf numFmtId="0" fontId="106" fillId="26" borderId="242" applyNumberFormat="0" applyAlignment="0" applyProtection="0"/>
    <xf numFmtId="0" fontId="106" fillId="26" borderId="242" applyNumberFormat="0" applyAlignment="0" applyProtection="0"/>
    <xf numFmtId="0" fontId="6" fillId="0" borderId="246" applyNumberFormat="0" applyFont="0" applyFill="0" applyAlignment="0" applyProtection="0"/>
    <xf numFmtId="0" fontId="63" fillId="0" borderId="246" applyNumberFormat="0" applyFont="0" applyFill="0" applyAlignment="0" applyProtection="0"/>
    <xf numFmtId="204" fontId="69" fillId="0" borderId="247">
      <protection locked="0"/>
    </xf>
    <xf numFmtId="204" fontId="69" fillId="0" borderId="247">
      <protection locked="0"/>
    </xf>
    <xf numFmtId="0" fontId="6" fillId="0" borderId="246" applyNumberFormat="0" applyFont="0" applyFill="0" applyAlignment="0" applyProtection="0"/>
    <xf numFmtId="0" fontId="6" fillId="0" borderId="246" applyNumberFormat="0" applyFont="0" applyFill="0" applyAlignment="0" applyProtection="0"/>
    <xf numFmtId="0" fontId="6" fillId="0" borderId="246" applyNumberFormat="0" applyFont="0" applyFill="0" applyAlignment="0" applyProtection="0"/>
    <xf numFmtId="0" fontId="63" fillId="0" borderId="246" applyNumberFormat="0" applyFont="0" applyFill="0" applyAlignment="0" applyProtection="0"/>
    <xf numFmtId="0" fontId="57" fillId="17" borderId="254" applyNumberFormat="0" applyAlignment="0" applyProtection="0"/>
    <xf numFmtId="0" fontId="57" fillId="26" borderId="254" applyNumberFormat="0" applyAlignment="0" applyProtection="0"/>
    <xf numFmtId="0" fontId="57" fillId="26" borderId="254" applyNumberFormat="0" applyAlignment="0" applyProtection="0"/>
    <xf numFmtId="0" fontId="57" fillId="26" borderId="254" applyNumberFormat="0" applyAlignment="0" applyProtection="0"/>
    <xf numFmtId="0" fontId="57" fillId="26" borderId="254" applyNumberFormat="0" applyAlignment="0" applyProtection="0"/>
    <xf numFmtId="0" fontId="58" fillId="33" borderId="255" applyNumberFormat="0" applyAlignment="0" applyProtection="0"/>
    <xf numFmtId="0" fontId="58" fillId="33" borderId="255" applyNumberFormat="0" applyAlignment="0" applyProtection="0"/>
    <xf numFmtId="0" fontId="58" fillId="33" borderId="255" applyNumberFormat="0" applyAlignment="0" applyProtection="0"/>
    <xf numFmtId="0" fontId="58" fillId="33" borderId="255" applyNumberFormat="0" applyAlignment="0" applyProtection="0"/>
    <xf numFmtId="0" fontId="62" fillId="33" borderId="255" applyNumberFormat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38" fontId="2" fillId="0" borderId="256">
      <alignment vertical="center"/>
    </xf>
    <xf numFmtId="0" fontId="76" fillId="53" borderId="254" applyNumberFormat="0" applyAlignment="0" applyProtection="0"/>
    <xf numFmtId="0" fontId="76" fillId="18" borderId="254" applyNumberFormat="0" applyAlignment="0" applyProtection="0"/>
    <xf numFmtId="0" fontId="76" fillId="18" borderId="254" applyNumberFormat="0" applyAlignment="0" applyProtection="0"/>
    <xf numFmtId="0" fontId="76" fillId="18" borderId="254" applyNumberFormat="0" applyAlignment="0" applyProtection="0"/>
    <xf numFmtId="0" fontId="76" fillId="18" borderId="254" applyNumberFormat="0" applyAlignment="0" applyProtection="0"/>
    <xf numFmtId="0" fontId="6" fillId="19" borderId="257" applyNumberFormat="0" applyFont="0" applyAlignment="0" applyProtection="0"/>
    <xf numFmtId="0" fontId="6" fillId="19" borderId="257" applyNumberFormat="0" applyFont="0" applyAlignment="0" applyProtection="0"/>
    <xf numFmtId="0" fontId="6" fillId="19" borderId="257" applyNumberFormat="0" applyFont="0" applyAlignment="0" applyProtection="0"/>
    <xf numFmtId="0" fontId="6" fillId="19" borderId="257" applyNumberFormat="0" applyFont="0" applyAlignment="0" applyProtection="0"/>
    <xf numFmtId="0" fontId="6" fillId="19" borderId="257" applyNumberFormat="0" applyFont="0" applyAlignment="0" applyProtection="0"/>
    <xf numFmtId="0" fontId="106" fillId="17" borderId="258" applyNumberFormat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7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49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106" fillId="58" borderId="258" applyNumberFormat="0" applyAlignment="0" applyProtection="0"/>
    <xf numFmtId="0" fontId="106" fillId="26" borderId="258" applyNumberFormat="0" applyAlignment="0" applyProtection="0"/>
    <xf numFmtId="0" fontId="106" fillId="26" borderId="258" applyNumberFormat="0" applyAlignment="0" applyProtection="0"/>
    <xf numFmtId="0" fontId="106" fillId="26" borderId="258" applyNumberFormat="0" applyAlignment="0" applyProtection="0"/>
    <xf numFmtId="0" fontId="49" fillId="0" borderId="253" applyNumberFormat="0" applyFill="0" applyAlignment="0" applyProtection="0"/>
    <xf numFmtId="0" fontId="49" fillId="0" borderId="253" applyNumberFormat="0" applyFill="0" applyAlignment="0" applyProtection="0"/>
    <xf numFmtId="0" fontId="6" fillId="0" borderId="262" applyNumberFormat="0" applyFont="0" applyFill="0" applyAlignment="0" applyProtection="0"/>
    <xf numFmtId="0" fontId="63" fillId="0" borderId="262" applyNumberFormat="0" applyFont="0" applyFill="0" applyAlignment="0" applyProtection="0"/>
    <xf numFmtId="204" fontId="69" fillId="0" borderId="263">
      <protection locked="0"/>
    </xf>
    <xf numFmtId="204" fontId="69" fillId="0" borderId="263">
      <protection locked="0"/>
    </xf>
    <xf numFmtId="0" fontId="6" fillId="0" borderId="262" applyNumberFormat="0" applyFont="0" applyFill="0" applyAlignment="0" applyProtection="0"/>
    <xf numFmtId="0" fontId="6" fillId="0" borderId="262" applyNumberFormat="0" applyFont="0" applyFill="0" applyAlignment="0" applyProtection="0"/>
    <xf numFmtId="0" fontId="6" fillId="0" borderId="262" applyNumberFormat="0" applyFont="0" applyFill="0" applyAlignment="0" applyProtection="0"/>
    <xf numFmtId="0" fontId="63" fillId="0" borderId="262" applyNumberFormat="0" applyFont="0" applyFill="0" applyAlignment="0" applyProtection="0"/>
    <xf numFmtId="0" fontId="58" fillId="33" borderId="264" applyNumberFormat="0" applyAlignment="0" applyProtection="0"/>
    <xf numFmtId="0" fontId="58" fillId="33" borderId="264" applyNumberFormat="0" applyAlignment="0" applyProtection="0"/>
    <xf numFmtId="0" fontId="58" fillId="33" borderId="264" applyNumberFormat="0" applyAlignment="0" applyProtection="0"/>
    <xf numFmtId="0" fontId="58" fillId="33" borderId="264" applyNumberFormat="0" applyAlignment="0" applyProtection="0"/>
    <xf numFmtId="188" fontId="61" fillId="0" borderId="240">
      <alignment horizontal="center"/>
      <protection locked="0"/>
    </xf>
    <xf numFmtId="0" fontId="62" fillId="33" borderId="264" applyNumberFormat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0" fontId="7" fillId="0" borderId="250" applyNumberFormat="0" applyFill="0" applyAlignment="0" applyProtection="0"/>
    <xf numFmtId="38" fontId="2" fillId="0" borderId="265">
      <alignment vertical="center"/>
    </xf>
    <xf numFmtId="0" fontId="70" fillId="0" borderId="240" applyNumberFormat="0" applyBorder="0" applyAlignment="0">
      <alignment horizontal="left" vertical="top"/>
    </xf>
    <xf numFmtId="0" fontId="8" fillId="0" borderId="217">
      <alignment horizontal="left" vertical="center"/>
    </xf>
    <xf numFmtId="10" fontId="48" fillId="56" borderId="240" applyNumberFormat="0" applyBorder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59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48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51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6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0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52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1" applyNumberFormat="0" applyFont="0" applyFill="0" applyAlignment="0" applyProtection="0"/>
    <xf numFmtId="0" fontId="6" fillId="0" borderId="266" applyNumberFormat="0" applyFont="0" applyFill="0" applyAlignment="0" applyProtection="0"/>
    <xf numFmtId="0" fontId="63" fillId="0" borderId="266" applyNumberFormat="0" applyFont="0" applyFill="0" applyAlignment="0" applyProtection="0"/>
    <xf numFmtId="204" fontId="69" fillId="0" borderId="263">
      <protection locked="0"/>
    </xf>
    <xf numFmtId="204" fontId="69" fillId="0" borderId="263">
      <protection locked="0"/>
    </xf>
    <xf numFmtId="0" fontId="6" fillId="0" borderId="266" applyNumberFormat="0" applyFont="0" applyFill="0" applyAlignment="0" applyProtection="0"/>
    <xf numFmtId="0" fontId="6" fillId="0" borderId="266" applyNumberFormat="0" applyFont="0" applyFill="0" applyAlignment="0" applyProtection="0"/>
    <xf numFmtId="0" fontId="6" fillId="0" borderId="266" applyNumberFormat="0" applyFont="0" applyFill="0" applyAlignment="0" applyProtection="0"/>
    <xf numFmtId="0" fontId="63" fillId="0" borderId="266" applyNumberFormat="0" applyFont="0" applyFill="0" applyAlignment="0" applyProtection="0"/>
    <xf numFmtId="0" fontId="57" fillId="17" borderId="273" applyNumberFormat="0" applyAlignment="0" applyProtection="0"/>
    <xf numFmtId="0" fontId="57" fillId="26" borderId="273" applyNumberFormat="0" applyAlignment="0" applyProtection="0"/>
    <xf numFmtId="0" fontId="57" fillId="26" borderId="273" applyNumberFormat="0" applyAlignment="0" applyProtection="0"/>
    <xf numFmtId="0" fontId="57" fillId="26" borderId="273" applyNumberFormat="0" applyAlignment="0" applyProtection="0"/>
    <xf numFmtId="0" fontId="57" fillId="26" borderId="273" applyNumberFormat="0" applyAlignment="0" applyProtection="0"/>
    <xf numFmtId="0" fontId="58" fillId="33" borderId="274" applyNumberFormat="0" applyAlignment="0" applyProtection="0"/>
    <xf numFmtId="0" fontId="58" fillId="33" borderId="274" applyNumberFormat="0" applyAlignment="0" applyProtection="0"/>
    <xf numFmtId="0" fontId="58" fillId="33" borderId="274" applyNumberFormat="0" applyAlignment="0" applyProtection="0"/>
    <xf numFmtId="0" fontId="58" fillId="33" borderId="274" applyNumberFormat="0" applyAlignment="0" applyProtection="0"/>
    <xf numFmtId="0" fontId="62" fillId="33" borderId="274" applyNumberFormat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0" fontId="7" fillId="0" borderId="270" applyNumberFormat="0" applyFill="0" applyAlignment="0" applyProtection="0"/>
    <xf numFmtId="38" fontId="2" fillId="0" borderId="275">
      <alignment vertical="center"/>
    </xf>
    <xf numFmtId="0" fontId="76" fillId="53" borderId="273" applyNumberFormat="0" applyAlignment="0" applyProtection="0"/>
    <xf numFmtId="0" fontId="76" fillId="18" borderId="273" applyNumberFormat="0" applyAlignment="0" applyProtection="0"/>
    <xf numFmtId="0" fontId="76" fillId="18" borderId="273" applyNumberFormat="0" applyAlignment="0" applyProtection="0"/>
    <xf numFmtId="0" fontId="76" fillId="18" borderId="273" applyNumberFormat="0" applyAlignment="0" applyProtection="0"/>
    <xf numFmtId="0" fontId="8" fillId="0" borderId="272">
      <alignment horizontal="left" vertical="center"/>
    </xf>
    <xf numFmtId="0" fontId="76" fillId="18" borderId="273" applyNumberFormat="0" applyAlignment="0" applyProtection="0"/>
    <xf numFmtId="0" fontId="6" fillId="19" borderId="276" applyNumberFormat="0" applyFont="0" applyAlignment="0" applyProtection="0"/>
    <xf numFmtId="0" fontId="6" fillId="19" borderId="276" applyNumberFormat="0" applyFont="0" applyAlignment="0" applyProtection="0"/>
    <xf numFmtId="0" fontId="6" fillId="19" borderId="276" applyNumberFormat="0" applyFont="0" applyAlignment="0" applyProtection="0"/>
    <xf numFmtId="0" fontId="6" fillId="19" borderId="276" applyNumberFormat="0" applyFont="0" applyAlignment="0" applyProtection="0"/>
    <xf numFmtId="0" fontId="6" fillId="19" borderId="276" applyNumberFormat="0" applyFont="0" applyAlignment="0" applyProtection="0"/>
    <xf numFmtId="0" fontId="106" fillId="17" borderId="277" applyNumberFormat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8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68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76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9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67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9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0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71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6" fillId="0" borderId="280" applyNumberFormat="0" applyFont="0" applyFill="0" applyAlignment="0" applyProtection="0"/>
    <xf numFmtId="0" fontId="106" fillId="58" borderId="277" applyNumberFormat="0" applyAlignment="0" applyProtection="0"/>
    <xf numFmtId="0" fontId="106" fillId="26" borderId="277" applyNumberFormat="0" applyAlignment="0" applyProtection="0"/>
    <xf numFmtId="0" fontId="106" fillId="26" borderId="277" applyNumberFormat="0" applyAlignment="0" applyProtection="0"/>
    <xf numFmtId="0" fontId="106" fillId="26" borderId="277" applyNumberFormat="0" applyAlignment="0" applyProtection="0"/>
    <xf numFmtId="0" fontId="49" fillId="0" borderId="272" applyNumberFormat="0" applyFill="0" applyAlignment="0" applyProtection="0"/>
    <xf numFmtId="0" fontId="49" fillId="0" borderId="272" applyNumberFormat="0" applyFill="0" applyAlignment="0" applyProtection="0"/>
    <xf numFmtId="204" fontId="69" fillId="0" borderId="281">
      <protection locked="0"/>
    </xf>
    <xf numFmtId="204" fontId="69" fillId="0" borderId="281">
      <protection locked="0"/>
    </xf>
    <xf numFmtId="0" fontId="57" fillId="17" borderId="292" applyNumberFormat="0" applyAlignment="0" applyProtection="0"/>
    <xf numFmtId="0" fontId="57" fillId="26" borderId="292" applyNumberFormat="0" applyAlignment="0" applyProtection="0"/>
    <xf numFmtId="0" fontId="57" fillId="26" borderId="292" applyNumberFormat="0" applyAlignment="0" applyProtection="0"/>
    <xf numFmtId="0" fontId="57" fillId="26" borderId="292" applyNumberFormat="0" applyAlignment="0" applyProtection="0"/>
    <xf numFmtId="0" fontId="57" fillId="26" borderId="292" applyNumberFormat="0" applyAlignment="0" applyProtection="0"/>
    <xf numFmtId="188" fontId="61" fillId="0" borderId="282">
      <alignment horizontal="center"/>
      <protection locked="0"/>
    </xf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200" fontId="65" fillId="0" borderId="283">
      <alignment horizontal="center"/>
    </xf>
    <xf numFmtId="0" fontId="70" fillId="0" borderId="282" applyNumberFormat="0" applyBorder="0" applyAlignment="0">
      <alignment horizontal="left" vertical="top"/>
    </xf>
    <xf numFmtId="0" fontId="76" fillId="53" borderId="292" applyNumberFormat="0" applyAlignment="0" applyProtection="0"/>
    <xf numFmtId="0" fontId="76" fillId="18" borderId="292" applyNumberFormat="0" applyAlignment="0" applyProtection="0"/>
    <xf numFmtId="0" fontId="76" fillId="18" borderId="292" applyNumberFormat="0" applyAlignment="0" applyProtection="0"/>
    <xf numFmtId="0" fontId="76" fillId="18" borderId="292" applyNumberFormat="0" applyAlignment="0" applyProtection="0"/>
    <xf numFmtId="0" fontId="87" fillId="0" borderId="283" applyNumberFormat="0" applyFill="0" applyBorder="0" applyAlignment="0"/>
    <xf numFmtId="0" fontId="76" fillId="18" borderId="292" applyNumberFormat="0" applyAlignment="0" applyProtection="0"/>
    <xf numFmtId="10" fontId="48" fillId="56" borderId="282" applyNumberFormat="0" applyBorder="0" applyAlignment="0" applyProtection="0"/>
    <xf numFmtId="0" fontId="48" fillId="0" borderId="283" applyNumberFormat="0" applyFill="0" applyBorder="0" applyAlignment="0">
      <alignment vertical="center"/>
    </xf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106" fillId="17" borderId="294" applyNumberFormat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106" fillId="58" borderId="294" applyNumberFormat="0" applyAlignment="0" applyProtection="0"/>
    <xf numFmtId="0" fontId="106" fillId="26" borderId="294" applyNumberFormat="0" applyAlignment="0" applyProtection="0"/>
    <xf numFmtId="0" fontId="106" fillId="26" borderId="294" applyNumberFormat="0" applyAlignment="0" applyProtection="0"/>
    <xf numFmtId="0" fontId="106" fillId="26" borderId="294" applyNumberFormat="0" applyAlignment="0" applyProtection="0"/>
    <xf numFmtId="0" fontId="49" fillId="0" borderId="272" applyNumberFormat="0" applyFill="0" applyAlignment="0" applyProtection="0"/>
    <xf numFmtId="0" fontId="49" fillId="0" borderId="272" applyNumberFormat="0" applyFill="0" applyAlignment="0" applyProtection="0"/>
    <xf numFmtId="0" fontId="6" fillId="0" borderId="284" applyNumberFormat="0" applyFont="0" applyFill="0" applyAlignment="0" applyProtection="0"/>
    <xf numFmtId="0" fontId="63" fillId="0" borderId="284" applyNumberFormat="0" applyFont="0" applyFill="0" applyAlignment="0" applyProtection="0"/>
    <xf numFmtId="204" fontId="69" fillId="0" borderId="298">
      <protection locked="0"/>
    </xf>
    <xf numFmtId="204" fontId="69" fillId="0" borderId="298">
      <protection locked="0"/>
    </xf>
    <xf numFmtId="0" fontId="6" fillId="0" borderId="284" applyNumberFormat="0" applyFont="0" applyFill="0" applyAlignment="0" applyProtection="0"/>
    <xf numFmtId="0" fontId="6" fillId="0" borderId="284" applyNumberFormat="0" applyFont="0" applyFill="0" applyAlignment="0" applyProtection="0"/>
    <xf numFmtId="0" fontId="6" fillId="0" borderId="284" applyNumberFormat="0" applyFont="0" applyFill="0" applyAlignment="0" applyProtection="0"/>
    <xf numFmtId="0" fontId="63" fillId="0" borderId="284" applyNumberFormat="0" applyFont="0" applyFill="0" applyAlignment="0" applyProtection="0"/>
    <xf numFmtId="0" fontId="57" fillId="17" borderId="292" applyNumberFormat="0" applyAlignment="0" applyProtection="0"/>
    <xf numFmtId="0" fontId="57" fillId="26" borderId="292" applyNumberFormat="0" applyAlignment="0" applyProtection="0"/>
    <xf numFmtId="0" fontId="57" fillId="26" borderId="292" applyNumberFormat="0" applyAlignment="0" applyProtection="0"/>
    <xf numFmtId="0" fontId="57" fillId="26" borderId="292" applyNumberFormat="0" applyAlignment="0" applyProtection="0"/>
    <xf numFmtId="0" fontId="57" fillId="26" borderId="292" applyNumberFormat="0" applyAlignment="0" applyProtection="0"/>
    <xf numFmtId="0" fontId="58" fillId="33" borderId="299" applyNumberFormat="0" applyAlignment="0" applyProtection="0"/>
    <xf numFmtId="0" fontId="58" fillId="33" borderId="299" applyNumberFormat="0" applyAlignment="0" applyProtection="0"/>
    <xf numFmtId="0" fontId="58" fillId="33" borderId="299" applyNumberFormat="0" applyAlignment="0" applyProtection="0"/>
    <xf numFmtId="0" fontId="58" fillId="33" borderId="299" applyNumberFormat="0" applyAlignment="0" applyProtection="0"/>
    <xf numFmtId="0" fontId="62" fillId="33" borderId="299" applyNumberFormat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0" fontId="7" fillId="0" borderId="289" applyNumberFormat="0" applyFill="0" applyAlignment="0" applyProtection="0"/>
    <xf numFmtId="38" fontId="2" fillId="0" borderId="300">
      <alignment vertical="center"/>
    </xf>
    <xf numFmtId="0" fontId="76" fillId="53" borderId="292" applyNumberFormat="0" applyAlignment="0" applyProtection="0"/>
    <xf numFmtId="0" fontId="76" fillId="18" borderId="292" applyNumberFormat="0" applyAlignment="0" applyProtection="0"/>
    <xf numFmtId="0" fontId="76" fillId="18" borderId="292" applyNumberFormat="0" applyAlignment="0" applyProtection="0"/>
    <xf numFmtId="0" fontId="76" fillId="18" borderId="292" applyNumberFormat="0" applyAlignment="0" applyProtection="0"/>
    <xf numFmtId="0" fontId="76" fillId="18" borderId="292" applyNumberForma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6" fillId="19" borderId="293" applyNumberFormat="0" applyFont="0" applyAlignment="0" applyProtection="0"/>
    <xf numFmtId="0" fontId="106" fillId="17" borderId="294" applyNumberFormat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5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86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3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90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87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96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89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1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6" fillId="0" borderId="297" applyNumberFormat="0" applyFont="0" applyFill="0" applyAlignment="0" applyProtection="0"/>
    <xf numFmtId="0" fontId="106" fillId="58" borderId="294" applyNumberFormat="0" applyAlignment="0" applyProtection="0"/>
    <xf numFmtId="0" fontId="106" fillId="26" borderId="294" applyNumberFormat="0" applyAlignment="0" applyProtection="0"/>
    <xf numFmtId="0" fontId="106" fillId="26" borderId="294" applyNumberFormat="0" applyAlignment="0" applyProtection="0"/>
    <xf numFmtId="0" fontId="106" fillId="26" borderId="294" applyNumberFormat="0" applyAlignment="0" applyProtection="0"/>
    <xf numFmtId="0" fontId="49" fillId="0" borderId="217" applyNumberFormat="0" applyFill="0" applyAlignment="0" applyProtection="0"/>
    <xf numFmtId="0" fontId="49" fillId="0" borderId="217" applyNumberFormat="0" applyFill="0" applyAlignment="0" applyProtection="0"/>
    <xf numFmtId="0" fontId="6" fillId="0" borderId="301" applyNumberFormat="0" applyFont="0" applyFill="0" applyAlignment="0" applyProtection="0"/>
    <xf numFmtId="0" fontId="63" fillId="0" borderId="301" applyNumberFormat="0" applyFont="0" applyFill="0" applyAlignment="0" applyProtection="0"/>
    <xf numFmtId="204" fontId="69" fillId="0" borderId="298">
      <protection locked="0"/>
    </xf>
    <xf numFmtId="204" fontId="69" fillId="0" borderId="298">
      <protection locked="0"/>
    </xf>
    <xf numFmtId="0" fontId="6" fillId="0" borderId="301" applyNumberFormat="0" applyFont="0" applyFill="0" applyAlignment="0" applyProtection="0"/>
    <xf numFmtId="0" fontId="6" fillId="0" borderId="301" applyNumberFormat="0" applyFont="0" applyFill="0" applyAlignment="0" applyProtection="0"/>
    <xf numFmtId="0" fontId="6" fillId="0" borderId="301" applyNumberFormat="0" applyFont="0" applyFill="0" applyAlignment="0" applyProtection="0"/>
    <xf numFmtId="0" fontId="63" fillId="0" borderId="301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8" fillId="33" borderId="311" applyNumberFormat="0" applyAlignment="0" applyProtection="0"/>
    <xf numFmtId="0" fontId="58" fillId="33" borderId="311" applyNumberFormat="0" applyAlignment="0" applyProtection="0"/>
    <xf numFmtId="0" fontId="58" fillId="33" borderId="311" applyNumberFormat="0" applyAlignment="0" applyProtection="0"/>
    <xf numFmtId="0" fontId="58" fillId="33" borderId="311" applyNumberFormat="0" applyAlignment="0" applyProtection="0"/>
    <xf numFmtId="188" fontId="61" fillId="0" borderId="302">
      <alignment horizontal="center"/>
      <protection locked="0"/>
    </xf>
    <xf numFmtId="0" fontId="62" fillId="33" borderId="311" applyNumberFormat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0" fontId="7" fillId="0" borderId="307" applyNumberFormat="0" applyFill="0" applyAlignment="0" applyProtection="0"/>
    <xf numFmtId="38" fontId="2" fillId="0" borderId="312">
      <alignment vertical="center"/>
    </xf>
    <xf numFmtId="0" fontId="70" fillId="0" borderId="302" applyNumberFormat="0" applyBorder="0" applyAlignment="0">
      <alignment horizontal="left" vertical="top"/>
    </xf>
    <xf numFmtId="0" fontId="106" fillId="17" borderId="361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59" applyNumberFormat="0" applyAlignment="0" applyProtection="0"/>
    <xf numFmtId="0" fontId="8" fillId="0" borderId="304">
      <alignment horizontal="left" vertical="center"/>
    </xf>
    <xf numFmtId="0" fontId="76" fillId="18" borderId="310" applyNumberFormat="0" applyAlignment="0" applyProtection="0"/>
    <xf numFmtId="10" fontId="48" fillId="56" borderId="302" applyNumberFormat="0" applyBorder="0" applyAlignment="0" applyProtection="0"/>
    <xf numFmtId="0" fontId="76" fillId="18" borderId="359" applyNumberFormat="0" applyAlignment="0" applyProtection="0"/>
    <xf numFmtId="0" fontId="76" fillId="53" borderId="359" applyNumberForma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17" borderId="359" applyNumberFormat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7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49" fillId="0" borderId="304" applyNumberFormat="0" applyFill="0" applyAlignment="0" applyProtection="0"/>
    <xf numFmtId="0" fontId="49" fillId="0" borderId="304" applyNumberFormat="0" applyFill="0" applyAlignment="0" applyProtection="0"/>
    <xf numFmtId="0" fontId="6" fillId="0" borderId="318" applyNumberFormat="0" applyFont="0" applyFill="0" applyAlignment="0" applyProtection="0"/>
    <xf numFmtId="0" fontId="63" fillId="0" borderId="318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18" applyNumberFormat="0" applyFont="0" applyFill="0" applyAlignment="0" applyProtection="0"/>
    <xf numFmtId="0" fontId="6" fillId="0" borderId="318" applyNumberFormat="0" applyFont="0" applyFill="0" applyAlignment="0" applyProtection="0"/>
    <xf numFmtId="0" fontId="6" fillId="0" borderId="318" applyNumberFormat="0" applyFont="0" applyFill="0" applyAlignment="0" applyProtection="0"/>
    <xf numFmtId="0" fontId="63" fillId="0" borderId="318" applyNumberFormat="0" applyFont="0" applyFill="0" applyAlignment="0" applyProtection="0"/>
    <xf numFmtId="0" fontId="58" fillId="33" borderId="321" applyNumberFormat="0" applyAlignment="0" applyProtection="0"/>
    <xf numFmtId="0" fontId="58" fillId="33" borderId="321" applyNumberFormat="0" applyAlignment="0" applyProtection="0"/>
    <xf numFmtId="0" fontId="58" fillId="33" borderId="321" applyNumberFormat="0" applyAlignment="0" applyProtection="0"/>
    <xf numFmtId="0" fontId="58" fillId="33" borderId="321" applyNumberFormat="0" applyAlignment="0" applyProtection="0"/>
    <xf numFmtId="188" fontId="61" fillId="0" borderId="322">
      <alignment horizontal="center"/>
      <protection locked="0"/>
    </xf>
    <xf numFmtId="0" fontId="62" fillId="33" borderId="321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38" fontId="2" fillId="0" borderId="323">
      <alignment vertical="center"/>
    </xf>
    <xf numFmtId="0" fontId="70" fillId="0" borderId="322" applyNumberFormat="0" applyBorder="0" applyAlignment="0">
      <alignment horizontal="left" vertical="top"/>
    </xf>
    <xf numFmtId="0" fontId="8" fillId="0" borderId="324">
      <alignment horizontal="left" vertical="center"/>
    </xf>
    <xf numFmtId="10" fontId="48" fillId="56" borderId="322" applyNumberFormat="0" applyBorder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25" applyNumberFormat="0" applyFont="0" applyFill="0" applyAlignment="0" applyProtection="0"/>
    <xf numFmtId="0" fontId="63" fillId="0" borderId="325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25" applyNumberFormat="0" applyFont="0" applyFill="0" applyAlignment="0" applyProtection="0"/>
    <xf numFmtId="0" fontId="6" fillId="0" borderId="325" applyNumberFormat="0" applyFont="0" applyFill="0" applyAlignment="0" applyProtection="0"/>
    <xf numFmtId="0" fontId="6" fillId="0" borderId="325" applyNumberFormat="0" applyFont="0" applyFill="0" applyAlignment="0" applyProtection="0"/>
    <xf numFmtId="0" fontId="63" fillId="0" borderId="325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8" fillId="33" borderId="328" applyNumberFormat="0" applyAlignment="0" applyProtection="0"/>
    <xf numFmtId="0" fontId="58" fillId="33" borderId="328" applyNumberFormat="0" applyAlignment="0" applyProtection="0"/>
    <xf numFmtId="0" fontId="58" fillId="33" borderId="328" applyNumberFormat="0" applyAlignment="0" applyProtection="0"/>
    <xf numFmtId="0" fontId="58" fillId="33" borderId="328" applyNumberFormat="0" applyAlignment="0" applyProtection="0"/>
    <xf numFmtId="0" fontId="62" fillId="33" borderId="328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38" fontId="2" fillId="0" borderId="329">
      <alignment vertical="center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8" fillId="0" borderId="324">
      <alignment horizontal="left" vertical="center"/>
    </xf>
    <xf numFmtId="0" fontId="76" fillId="18" borderId="310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49" fillId="0" borderId="304" applyNumberFormat="0" applyFill="0" applyAlignment="0" applyProtection="0"/>
    <xf numFmtId="0" fontId="49" fillId="0" borderId="304" applyNumberForma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200" fontId="65" fillId="0" borderId="330">
      <alignment horizontal="center"/>
    </xf>
    <xf numFmtId="0" fontId="87" fillId="0" borderId="330" applyNumberFormat="0" applyFill="0" applyBorder="0" applyAlignment="0"/>
    <xf numFmtId="0" fontId="76" fillId="18" borderId="310" applyNumberFormat="0" applyAlignment="0" applyProtection="0"/>
    <xf numFmtId="0" fontId="48" fillId="0" borderId="330" applyNumberFormat="0" applyFill="0" applyBorder="0" applyAlignment="0">
      <alignment vertical="center"/>
    </xf>
    <xf numFmtId="0" fontId="49" fillId="0" borderId="324" applyNumberFormat="0" applyFill="0" applyAlignment="0" applyProtection="0"/>
    <xf numFmtId="0" fontId="49" fillId="0" borderId="324" applyNumberForma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188" fontId="61" fillId="0" borderId="322">
      <alignment horizontal="center"/>
      <protection locked="0"/>
    </xf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200" fontId="65" fillId="0" borderId="283">
      <alignment horizontal="center"/>
    </xf>
    <xf numFmtId="0" fontId="70" fillId="0" borderId="322" applyNumberFormat="0" applyBorder="0" applyAlignment="0">
      <alignment horizontal="left" vertical="top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87" fillId="0" borderId="283" applyNumberFormat="0" applyFill="0" applyBorder="0" applyAlignment="0"/>
    <xf numFmtId="0" fontId="76" fillId="18" borderId="310" applyNumberFormat="0" applyAlignment="0" applyProtection="0"/>
    <xf numFmtId="10" fontId="48" fillId="56" borderId="322" applyNumberFormat="0" applyBorder="0" applyAlignment="0" applyProtection="0"/>
    <xf numFmtId="0" fontId="48" fillId="0" borderId="283" applyNumberFormat="0" applyFill="0" applyBorder="0" applyAlignment="0">
      <alignment vertical="center"/>
    </xf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49" fillId="0" borderId="324" applyNumberFormat="0" applyFill="0" applyAlignment="0" applyProtection="0"/>
    <xf numFmtId="0" fontId="49" fillId="0" borderId="324" applyNumberForma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188" fontId="61" fillId="0" borderId="322">
      <alignment horizontal="center"/>
      <protection locked="0"/>
    </xf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0" fillId="0" borderId="322" applyNumberFormat="0" applyBorder="0" applyAlignment="0">
      <alignment horizontal="left" vertical="top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10" fontId="48" fillId="56" borderId="322" applyNumberFormat="0" applyBorder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188" fontId="61" fillId="0" borderId="322">
      <alignment horizontal="center"/>
      <protection locked="0"/>
    </xf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0" fillId="0" borderId="322" applyNumberFormat="0" applyBorder="0" applyAlignment="0">
      <alignment horizontal="left" vertical="top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10" fontId="48" fillId="56" borderId="322" applyNumberFormat="0" applyBorder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49" fillId="0" borderId="324" applyNumberFormat="0" applyFill="0" applyAlignment="0" applyProtection="0"/>
    <xf numFmtId="0" fontId="49" fillId="0" borderId="324" applyNumberForma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" fillId="0" borderId="331" applyNumberFormat="0" applyFont="0" applyFill="0" applyAlignment="0" applyProtection="0"/>
    <xf numFmtId="0" fontId="63" fillId="0" borderId="331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8" fillId="33" borderId="332" applyNumberFormat="0" applyAlignment="0" applyProtection="0"/>
    <xf numFmtId="0" fontId="58" fillId="33" borderId="332" applyNumberFormat="0" applyAlignment="0" applyProtection="0"/>
    <xf numFmtId="0" fontId="58" fillId="33" borderId="332" applyNumberFormat="0" applyAlignment="0" applyProtection="0"/>
    <xf numFmtId="0" fontId="58" fillId="33" borderId="332" applyNumberFormat="0" applyAlignment="0" applyProtection="0"/>
    <xf numFmtId="188" fontId="61" fillId="0" borderId="322">
      <alignment horizontal="center"/>
      <protection locked="0"/>
    </xf>
    <xf numFmtId="0" fontId="62" fillId="33" borderId="332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38" fontId="2" fillId="0" borderId="333">
      <alignment vertical="center"/>
    </xf>
    <xf numFmtId="0" fontId="70" fillId="0" borderId="322" applyNumberFormat="0" applyBorder="0" applyAlignment="0">
      <alignment horizontal="left" vertical="top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10" fontId="48" fillId="56" borderId="322" applyNumberFormat="0" applyBorder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6" fillId="0" borderId="334" applyNumberFormat="0" applyFont="0" applyFill="0" applyAlignment="0" applyProtection="0"/>
    <xf numFmtId="0" fontId="63" fillId="0" borderId="334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34" applyNumberFormat="0" applyFont="0" applyFill="0" applyAlignment="0" applyProtection="0"/>
    <xf numFmtId="0" fontId="6" fillId="0" borderId="334" applyNumberFormat="0" applyFont="0" applyFill="0" applyAlignment="0" applyProtection="0"/>
    <xf numFmtId="0" fontId="6" fillId="0" borderId="334" applyNumberFormat="0" applyFont="0" applyFill="0" applyAlignment="0" applyProtection="0"/>
    <xf numFmtId="0" fontId="63" fillId="0" borderId="334" applyNumberFormat="0" applyFon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8" fillId="33" borderId="335" applyNumberFormat="0" applyAlignment="0" applyProtection="0"/>
    <xf numFmtId="0" fontId="58" fillId="33" borderId="335" applyNumberFormat="0" applyAlignment="0" applyProtection="0"/>
    <xf numFmtId="0" fontId="58" fillId="33" borderId="335" applyNumberFormat="0" applyAlignment="0" applyProtection="0"/>
    <xf numFmtId="0" fontId="58" fillId="33" borderId="335" applyNumberFormat="0" applyAlignment="0" applyProtection="0"/>
    <xf numFmtId="188" fontId="61" fillId="0" borderId="322">
      <alignment horizontal="center"/>
      <protection locked="0"/>
    </xf>
    <xf numFmtId="0" fontId="62" fillId="33" borderId="335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38" fontId="2" fillId="0" borderId="336">
      <alignment vertical="center"/>
    </xf>
    <xf numFmtId="0" fontId="70" fillId="0" borderId="322" applyNumberFormat="0" applyBorder="0" applyAlignment="0">
      <alignment horizontal="left" vertical="top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8" fillId="0" borderId="324">
      <alignment horizontal="left" vertical="center"/>
    </xf>
    <xf numFmtId="0" fontId="76" fillId="18" borderId="310" applyNumberFormat="0" applyAlignment="0" applyProtection="0"/>
    <xf numFmtId="10" fontId="48" fillId="56" borderId="322" applyNumberFormat="0" applyBorder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5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288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6" fillId="0" borderId="337" applyNumberFormat="0" applyFont="0" applyFill="0" applyAlignment="0" applyProtection="0"/>
    <xf numFmtId="0" fontId="63" fillId="0" borderId="337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37" applyNumberFormat="0" applyFont="0" applyFill="0" applyAlignment="0" applyProtection="0"/>
    <xf numFmtId="0" fontId="6" fillId="0" borderId="337" applyNumberFormat="0" applyFont="0" applyFill="0" applyAlignment="0" applyProtection="0"/>
    <xf numFmtId="0" fontId="6" fillId="0" borderId="337" applyNumberFormat="0" applyFont="0" applyFill="0" applyAlignment="0" applyProtection="0"/>
    <xf numFmtId="0" fontId="63" fillId="0" borderId="337" applyNumberFormat="0" applyFont="0" applyFill="0" applyAlignment="0" applyProtection="0"/>
    <xf numFmtId="0" fontId="76" fillId="18" borderId="310" applyNumberFormat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7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49" fillId="0" borderId="324" applyNumberFormat="0" applyFill="0" applyAlignment="0" applyProtection="0"/>
    <xf numFmtId="0" fontId="49" fillId="0" borderId="324" applyNumberFormat="0" applyFill="0" applyAlignment="0" applyProtection="0"/>
    <xf numFmtId="0" fontId="57" fillId="17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7" fillId="26" borderId="310" applyNumberFormat="0" applyAlignment="0" applyProtection="0"/>
    <xf numFmtId="0" fontId="58" fillId="33" borderId="338" applyNumberFormat="0" applyAlignment="0" applyProtection="0"/>
    <xf numFmtId="0" fontId="58" fillId="33" borderId="338" applyNumberFormat="0" applyAlignment="0" applyProtection="0"/>
    <xf numFmtId="0" fontId="58" fillId="33" borderId="338" applyNumberFormat="0" applyAlignment="0" applyProtection="0"/>
    <xf numFmtId="0" fontId="58" fillId="33" borderId="338" applyNumberFormat="0" applyAlignment="0" applyProtection="0"/>
    <xf numFmtId="188" fontId="61" fillId="0" borderId="322">
      <alignment horizontal="center"/>
      <protection locked="0"/>
    </xf>
    <xf numFmtId="0" fontId="62" fillId="33" borderId="338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38" fontId="2" fillId="0" borderId="339">
      <alignment vertical="center"/>
    </xf>
    <xf numFmtId="0" fontId="70" fillId="0" borderId="322" applyNumberFormat="0" applyBorder="0" applyAlignment="0">
      <alignment horizontal="left" vertical="top"/>
    </xf>
    <xf numFmtId="0" fontId="76" fillId="53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76" fillId="18" borderId="310" applyNumberFormat="0" applyAlignment="0" applyProtection="0"/>
    <xf numFmtId="0" fontId="8" fillId="0" borderId="324">
      <alignment horizontal="left" vertical="center"/>
    </xf>
    <xf numFmtId="0" fontId="76" fillId="18" borderId="310" applyNumberFormat="0" applyAlignment="0" applyProtection="0"/>
    <xf numFmtId="10" fontId="48" fillId="56" borderId="322" applyNumberFormat="0" applyBorder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106" fillId="17" borderId="314" applyNumberFormat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106" fillId="26" borderId="314" applyNumberFormat="0" applyAlignment="0" applyProtection="0"/>
    <xf numFmtId="0" fontId="6" fillId="0" borderId="340" applyNumberFormat="0" applyFont="0" applyFill="0" applyAlignment="0" applyProtection="0"/>
    <xf numFmtId="0" fontId="63" fillId="0" borderId="340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40" applyNumberFormat="0" applyFont="0" applyFill="0" applyAlignment="0" applyProtection="0"/>
    <xf numFmtId="0" fontId="6" fillId="0" borderId="340" applyNumberFormat="0" applyFont="0" applyFill="0" applyAlignment="0" applyProtection="0"/>
    <xf numFmtId="0" fontId="6" fillId="0" borderId="340" applyNumberFormat="0" applyFont="0" applyFill="0" applyAlignment="0" applyProtection="0"/>
    <xf numFmtId="0" fontId="63" fillId="0" borderId="340" applyNumberFormat="0" applyFont="0" applyFill="0" applyAlignment="0" applyProtection="0"/>
    <xf numFmtId="165" fontId="1" fillId="0" borderId="0" applyFont="0" applyFill="0" applyBorder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6" fillId="0" borderId="315" applyNumberFormat="0" applyFont="0" applyFill="0" applyAlignment="0" applyProtection="0"/>
    <xf numFmtId="0" fontId="57" fillId="17" borderId="343" applyNumberFormat="0" applyAlignment="0" applyProtection="0"/>
    <xf numFmtId="0" fontId="57" fillId="26" borderId="343" applyNumberFormat="0" applyAlignment="0" applyProtection="0"/>
    <xf numFmtId="0" fontId="57" fillId="26" borderId="343" applyNumberFormat="0" applyAlignment="0" applyProtection="0"/>
    <xf numFmtId="0" fontId="57" fillId="26" borderId="343" applyNumberFormat="0" applyAlignment="0" applyProtection="0"/>
    <xf numFmtId="0" fontId="57" fillId="26" borderId="343" applyNumberFormat="0" applyAlignment="0" applyProtection="0"/>
    <xf numFmtId="0" fontId="58" fillId="33" borderId="344" applyNumberFormat="0" applyAlignment="0" applyProtection="0"/>
    <xf numFmtId="0" fontId="58" fillId="33" borderId="344" applyNumberFormat="0" applyAlignment="0" applyProtection="0"/>
    <xf numFmtId="0" fontId="58" fillId="33" borderId="344" applyNumberFormat="0" applyAlignment="0" applyProtection="0"/>
    <xf numFmtId="0" fontId="58" fillId="33" borderId="344" applyNumberFormat="0" applyAlignment="0" applyProtection="0"/>
    <xf numFmtId="0" fontId="62" fillId="33" borderId="344" applyNumberFormat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38" fontId="2" fillId="0" borderId="345">
      <alignment vertical="center"/>
    </xf>
    <xf numFmtId="0" fontId="106" fillId="17" borderId="347" applyNumberForma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0" fontId="6" fillId="19" borderId="313" applyNumberFormat="0" applyFont="0" applyAlignment="0" applyProtection="0"/>
    <xf numFmtId="10" fontId="48" fillId="56" borderId="322" applyNumberFormat="0" applyBorder="0" applyAlignment="0" applyProtection="0"/>
    <xf numFmtId="0" fontId="76" fillId="18" borderId="343" applyNumberFormat="0" applyAlignment="0" applyProtection="0"/>
    <xf numFmtId="0" fontId="76" fillId="53" borderId="343" applyNumberFormat="0" applyAlignment="0" applyProtection="0"/>
    <xf numFmtId="0" fontId="76" fillId="18" borderId="343" applyNumberFormat="0" applyAlignment="0" applyProtection="0"/>
    <xf numFmtId="0" fontId="76" fillId="18" borderId="343" applyNumberFormat="0" applyAlignment="0" applyProtection="0"/>
    <xf numFmtId="0" fontId="76" fillId="18" borderId="343" applyNumberFormat="0" applyAlignment="0" applyProtection="0"/>
    <xf numFmtId="0" fontId="8" fillId="0" borderId="324">
      <alignment horizontal="left" vertical="center"/>
    </xf>
    <xf numFmtId="0" fontId="76" fillId="18" borderId="343" applyNumberFormat="0" applyAlignment="0" applyProtection="0"/>
    <xf numFmtId="0" fontId="76" fillId="18" borderId="343" applyNumberFormat="0" applyAlignment="0" applyProtection="0"/>
    <xf numFmtId="0" fontId="76" fillId="18" borderId="343" applyNumberFormat="0" applyAlignment="0" applyProtection="0"/>
    <xf numFmtId="0" fontId="76" fillId="53" borderId="343" applyNumberFormat="0" applyAlignment="0" applyProtection="0"/>
    <xf numFmtId="0" fontId="76" fillId="18" borderId="343" applyNumberFormat="0" applyAlignment="0" applyProtection="0"/>
    <xf numFmtId="0" fontId="6" fillId="19" borderId="346" applyNumberFormat="0" applyFont="0" applyAlignment="0" applyProtection="0"/>
    <xf numFmtId="0" fontId="6" fillId="19" borderId="346" applyNumberFormat="0" applyFont="0" applyAlignment="0" applyProtection="0"/>
    <xf numFmtId="0" fontId="6" fillId="19" borderId="346" applyNumberFormat="0" applyFont="0" applyAlignment="0" applyProtection="0"/>
    <xf numFmtId="0" fontId="6" fillId="19" borderId="346" applyNumberFormat="0" applyFont="0" applyAlignment="0" applyProtection="0"/>
    <xf numFmtId="0" fontId="6" fillId="19" borderId="346" applyNumberFormat="0" applyFont="0" applyAlignment="0" applyProtection="0"/>
    <xf numFmtId="0" fontId="106" fillId="17" borderId="347" applyNumberFormat="0" applyAlignment="0" applyProtection="0"/>
    <xf numFmtId="0" fontId="70" fillId="0" borderId="322" applyNumberFormat="0" applyBorder="0" applyAlignment="0">
      <alignment horizontal="left" vertical="top"/>
    </xf>
    <xf numFmtId="38" fontId="2" fillId="0" borderId="351">
      <alignment vertical="center"/>
    </xf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7" fillId="0" borderId="320" applyNumberForma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" fillId="0" borderId="348" applyNumberFormat="0" applyFont="0" applyFill="0" applyAlignment="0" applyProtection="0"/>
    <xf numFmtId="0" fontId="62" fillId="33" borderId="350" applyNumberFormat="0" applyAlignment="0" applyProtection="0"/>
    <xf numFmtId="188" fontId="61" fillId="0" borderId="322">
      <alignment horizontal="center"/>
      <protection locked="0"/>
    </xf>
    <xf numFmtId="0" fontId="58" fillId="33" borderId="350" applyNumberFormat="0" applyAlignment="0" applyProtection="0"/>
    <xf numFmtId="0" fontId="58" fillId="33" borderId="350" applyNumberFormat="0" applyAlignment="0" applyProtection="0"/>
    <xf numFmtId="0" fontId="58" fillId="33" borderId="350" applyNumberFormat="0" applyAlignment="0" applyProtection="0"/>
    <xf numFmtId="0" fontId="58" fillId="33" borderId="350" applyNumberFormat="0" applyAlignment="0" applyProtection="0"/>
    <xf numFmtId="0" fontId="57" fillId="26" borderId="343" applyNumberFormat="0" applyAlignment="0" applyProtection="0"/>
    <xf numFmtId="0" fontId="57" fillId="26" borderId="343" applyNumberFormat="0" applyAlignment="0" applyProtection="0"/>
    <xf numFmtId="0" fontId="57" fillId="26" borderId="343" applyNumberFormat="0" applyAlignment="0" applyProtection="0"/>
    <xf numFmtId="0" fontId="57" fillId="26" borderId="343" applyNumberFormat="0" applyAlignment="0" applyProtection="0"/>
    <xf numFmtId="0" fontId="57" fillId="17" borderId="343" applyNumberFormat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6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41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0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47" applyNumberFormat="0" applyAlignment="0" applyProtection="0"/>
    <xf numFmtId="0" fontId="106" fillId="26" borderId="347" applyNumberFormat="0" applyAlignment="0" applyProtection="0"/>
    <xf numFmtId="0" fontId="106" fillId="26" borderId="347" applyNumberFormat="0" applyAlignment="0" applyProtection="0"/>
    <xf numFmtId="0" fontId="106" fillId="26" borderId="347" applyNumberFormat="0" applyAlignment="0" applyProtection="0"/>
    <xf numFmtId="0" fontId="49" fillId="0" borderId="342" applyNumberFormat="0" applyFill="0" applyAlignment="0" applyProtection="0"/>
    <xf numFmtId="0" fontId="49" fillId="0" borderId="342" applyNumberFormat="0" applyFill="0" applyAlignment="0" applyProtection="0"/>
    <xf numFmtId="0" fontId="6" fillId="0" borderId="349" applyNumberFormat="0" applyFont="0" applyFill="0" applyAlignment="0" applyProtection="0"/>
    <xf numFmtId="0" fontId="63" fillId="0" borderId="349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49" applyNumberFormat="0" applyFont="0" applyFill="0" applyAlignment="0" applyProtection="0"/>
    <xf numFmtId="0" fontId="6" fillId="0" borderId="349" applyNumberFormat="0" applyFont="0" applyFill="0" applyAlignment="0" applyProtection="0"/>
    <xf numFmtId="0" fontId="6" fillId="0" borderId="349" applyNumberFormat="0" applyFont="0" applyFill="0" applyAlignment="0" applyProtection="0"/>
    <xf numFmtId="0" fontId="63" fillId="0" borderId="349" applyNumberFormat="0" applyFont="0" applyFill="0" applyAlignment="0" applyProtection="0"/>
    <xf numFmtId="165" fontId="1" fillId="0" borderId="0" applyFont="0" applyFill="0" applyBorder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05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13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08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2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16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20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09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6" fillId="0" borderId="317" applyNumberFormat="0" applyFont="0" applyFill="0" applyAlignment="0" applyProtection="0"/>
    <xf numFmtId="0" fontId="106" fillId="58" borderId="347" applyNumberFormat="0" applyAlignment="0" applyProtection="0"/>
    <xf numFmtId="0" fontId="106" fillId="26" borderId="347" applyNumberFormat="0" applyAlignment="0" applyProtection="0"/>
    <xf numFmtId="0" fontId="106" fillId="26" borderId="347" applyNumberFormat="0" applyAlignment="0" applyProtection="0"/>
    <xf numFmtId="0" fontId="106" fillId="26" borderId="347" applyNumberFormat="0" applyAlignment="0" applyProtection="0"/>
    <xf numFmtId="0" fontId="49" fillId="0" borderId="324" applyNumberFormat="0" applyFill="0" applyAlignment="0" applyProtection="0"/>
    <xf numFmtId="0" fontId="49" fillId="0" borderId="324" applyNumberFormat="0" applyFill="0" applyAlignment="0" applyProtection="0"/>
    <xf numFmtId="0" fontId="6" fillId="0" borderId="352" applyNumberFormat="0" applyFont="0" applyFill="0" applyAlignment="0" applyProtection="0"/>
    <xf numFmtId="0" fontId="63" fillId="0" borderId="352" applyNumberFormat="0" applyFont="0" applyFill="0" applyAlignment="0" applyProtection="0"/>
    <xf numFmtId="204" fontId="69" fillId="0" borderId="319">
      <protection locked="0"/>
    </xf>
    <xf numFmtId="204" fontId="69" fillId="0" borderId="319">
      <protection locked="0"/>
    </xf>
    <xf numFmtId="0" fontId="6" fillId="0" borderId="352" applyNumberFormat="0" applyFont="0" applyFill="0" applyAlignment="0" applyProtection="0"/>
    <xf numFmtId="0" fontId="6" fillId="0" borderId="352" applyNumberFormat="0" applyFont="0" applyFill="0" applyAlignment="0" applyProtection="0"/>
    <xf numFmtId="0" fontId="6" fillId="0" borderId="352" applyNumberFormat="0" applyFont="0" applyFill="0" applyAlignment="0" applyProtection="0"/>
    <xf numFmtId="0" fontId="63" fillId="0" borderId="352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49" fillId="0" borderId="358" applyNumberFormat="0" applyFill="0" applyAlignment="0" applyProtection="0"/>
    <xf numFmtId="0" fontId="49" fillId="0" borderId="358" applyNumberForma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58" fillId="33" borderId="366" applyNumberFormat="0" applyAlignment="0" applyProtection="0"/>
    <xf numFmtId="0" fontId="58" fillId="33" borderId="366" applyNumberFormat="0" applyAlignment="0" applyProtection="0"/>
    <xf numFmtId="0" fontId="58" fillId="33" borderId="366" applyNumberFormat="0" applyAlignment="0" applyProtection="0"/>
    <xf numFmtId="0" fontId="58" fillId="33" borderId="366" applyNumberFormat="0" applyAlignment="0" applyProtection="0"/>
    <xf numFmtId="0" fontId="62" fillId="33" borderId="366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38" fontId="2" fillId="0" borderId="367">
      <alignment vertical="center"/>
    </xf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8" applyNumberFormat="0" applyFont="0" applyFill="0" applyAlignment="0" applyProtection="0"/>
    <xf numFmtId="0" fontId="63" fillId="0" borderId="368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68" applyNumberFormat="0" applyFont="0" applyFill="0" applyAlignment="0" applyProtection="0"/>
    <xf numFmtId="0" fontId="6" fillId="0" borderId="368" applyNumberFormat="0" applyFont="0" applyFill="0" applyAlignment="0" applyProtection="0"/>
    <xf numFmtId="0" fontId="6" fillId="0" borderId="368" applyNumberFormat="0" applyFont="0" applyFill="0" applyAlignment="0" applyProtection="0"/>
    <xf numFmtId="0" fontId="63" fillId="0" borderId="368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8" fillId="33" borderId="369" applyNumberFormat="0" applyAlignment="0" applyProtection="0"/>
    <xf numFmtId="0" fontId="58" fillId="33" borderId="369" applyNumberFormat="0" applyAlignment="0" applyProtection="0"/>
    <xf numFmtId="0" fontId="58" fillId="33" borderId="369" applyNumberFormat="0" applyAlignment="0" applyProtection="0"/>
    <xf numFmtId="0" fontId="58" fillId="33" borderId="369" applyNumberFormat="0" applyAlignment="0" applyProtection="0"/>
    <xf numFmtId="0" fontId="62" fillId="33" borderId="36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38" fontId="2" fillId="0" borderId="370">
      <alignment vertical="center"/>
    </xf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49" fillId="0" borderId="358" applyNumberFormat="0" applyFill="0" applyAlignment="0" applyProtection="0"/>
    <xf numFmtId="0" fontId="49" fillId="0" borderId="358" applyNumberForma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76" fillId="18" borderId="359" applyNumberFormat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" fillId="0" borderId="371" applyNumberFormat="0" applyFont="0" applyFill="0" applyAlignment="0" applyProtection="0"/>
    <xf numFmtId="0" fontId="63" fillId="0" borderId="371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8" fillId="33" borderId="372" applyNumberFormat="0" applyAlignment="0" applyProtection="0"/>
    <xf numFmtId="0" fontId="58" fillId="33" borderId="372" applyNumberFormat="0" applyAlignment="0" applyProtection="0"/>
    <xf numFmtId="0" fontId="58" fillId="33" borderId="372" applyNumberFormat="0" applyAlignment="0" applyProtection="0"/>
    <xf numFmtId="0" fontId="58" fillId="33" borderId="372" applyNumberFormat="0" applyAlignment="0" applyProtection="0"/>
    <xf numFmtId="0" fontId="62" fillId="33" borderId="372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38" fontId="2" fillId="0" borderId="373">
      <alignment vertical="center"/>
    </xf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74" applyNumberFormat="0" applyFont="0" applyFill="0" applyAlignment="0" applyProtection="0"/>
    <xf numFmtId="0" fontId="63" fillId="0" borderId="374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74" applyNumberFormat="0" applyFont="0" applyFill="0" applyAlignment="0" applyProtection="0"/>
    <xf numFmtId="0" fontId="6" fillId="0" borderId="374" applyNumberFormat="0" applyFont="0" applyFill="0" applyAlignment="0" applyProtection="0"/>
    <xf numFmtId="0" fontId="6" fillId="0" borderId="374" applyNumberFormat="0" applyFont="0" applyFill="0" applyAlignment="0" applyProtection="0"/>
    <xf numFmtId="0" fontId="63" fillId="0" borderId="374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8" fillId="33" borderId="375" applyNumberFormat="0" applyAlignment="0" applyProtection="0"/>
    <xf numFmtId="0" fontId="58" fillId="33" borderId="375" applyNumberFormat="0" applyAlignment="0" applyProtection="0"/>
    <xf numFmtId="0" fontId="58" fillId="33" borderId="375" applyNumberFormat="0" applyAlignment="0" applyProtection="0"/>
    <xf numFmtId="0" fontId="58" fillId="33" borderId="375" applyNumberFormat="0" applyAlignment="0" applyProtection="0"/>
    <xf numFmtId="0" fontId="62" fillId="33" borderId="375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38" fontId="2" fillId="0" borderId="376">
      <alignment vertical="center"/>
    </xf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77" applyNumberFormat="0" applyFont="0" applyFill="0" applyAlignment="0" applyProtection="0"/>
    <xf numFmtId="0" fontId="63" fillId="0" borderId="377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77" applyNumberFormat="0" applyFont="0" applyFill="0" applyAlignment="0" applyProtection="0"/>
    <xf numFmtId="0" fontId="6" fillId="0" borderId="377" applyNumberFormat="0" applyFont="0" applyFill="0" applyAlignment="0" applyProtection="0"/>
    <xf numFmtId="0" fontId="6" fillId="0" borderId="377" applyNumberFormat="0" applyFont="0" applyFill="0" applyAlignment="0" applyProtection="0"/>
    <xf numFmtId="0" fontId="63" fillId="0" borderId="377" applyNumberFormat="0" applyFont="0" applyFill="0" applyAlignment="0" applyProtection="0"/>
    <xf numFmtId="0" fontId="76" fillId="18" borderId="359" applyNumberFormat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8" fillId="33" borderId="378" applyNumberFormat="0" applyAlignment="0" applyProtection="0"/>
    <xf numFmtId="0" fontId="58" fillId="33" borderId="378" applyNumberFormat="0" applyAlignment="0" applyProtection="0"/>
    <xf numFmtId="0" fontId="58" fillId="33" borderId="378" applyNumberFormat="0" applyAlignment="0" applyProtection="0"/>
    <xf numFmtId="0" fontId="58" fillId="33" borderId="378" applyNumberFormat="0" applyAlignment="0" applyProtection="0"/>
    <xf numFmtId="0" fontId="62" fillId="33" borderId="378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38" fontId="2" fillId="0" borderId="379">
      <alignment vertical="center"/>
    </xf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80" applyNumberFormat="0" applyFont="0" applyFill="0" applyAlignment="0" applyProtection="0"/>
    <xf numFmtId="0" fontId="63" fillId="0" borderId="380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80" applyNumberFormat="0" applyFont="0" applyFill="0" applyAlignment="0" applyProtection="0"/>
    <xf numFmtId="0" fontId="6" fillId="0" borderId="380" applyNumberFormat="0" applyFont="0" applyFill="0" applyAlignment="0" applyProtection="0"/>
    <xf numFmtId="0" fontId="6" fillId="0" borderId="380" applyNumberFormat="0" applyFont="0" applyFill="0" applyAlignment="0" applyProtection="0"/>
    <xf numFmtId="0" fontId="63" fillId="0" borderId="38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57" fillId="17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8" fillId="33" borderId="381" applyNumberFormat="0" applyAlignment="0" applyProtection="0"/>
    <xf numFmtId="0" fontId="58" fillId="33" borderId="381" applyNumberFormat="0" applyAlignment="0" applyProtection="0"/>
    <xf numFmtId="0" fontId="58" fillId="33" borderId="381" applyNumberFormat="0" applyAlignment="0" applyProtection="0"/>
    <xf numFmtId="0" fontId="58" fillId="33" borderId="381" applyNumberFormat="0" applyAlignment="0" applyProtection="0"/>
    <xf numFmtId="0" fontId="62" fillId="33" borderId="381" applyNumberFormat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38" fontId="2" fillId="0" borderId="382">
      <alignment vertical="center"/>
    </xf>
    <xf numFmtId="0" fontId="106" fillId="17" borderId="361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76" fillId="18" borderId="359" applyNumberFormat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18" borderId="359" applyNumberFormat="0" applyAlignment="0" applyProtection="0"/>
    <xf numFmtId="0" fontId="76" fillId="53" borderId="359" applyNumberFormat="0" applyAlignment="0" applyProtection="0"/>
    <xf numFmtId="0" fontId="76" fillId="18" borderId="359" applyNumberForma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6" fillId="19" borderId="360" applyNumberFormat="0" applyFont="0" applyAlignment="0" applyProtection="0"/>
    <xf numFmtId="0" fontId="106" fillId="17" borderId="361" applyNumberFormat="0" applyAlignment="0" applyProtection="0"/>
    <xf numFmtId="38" fontId="2" fillId="0" borderId="385">
      <alignment vertical="center"/>
    </xf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7" fillId="0" borderId="355" applyNumberForma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" fillId="0" borderId="362" applyNumberFormat="0" applyFont="0" applyFill="0" applyAlignment="0" applyProtection="0"/>
    <xf numFmtId="0" fontId="62" fillId="33" borderId="384" applyNumberFormat="0" applyAlignment="0" applyProtection="0"/>
    <xf numFmtId="0" fontId="58" fillId="33" borderId="384" applyNumberFormat="0" applyAlignment="0" applyProtection="0"/>
    <xf numFmtId="0" fontId="58" fillId="33" borderId="384" applyNumberFormat="0" applyAlignment="0" applyProtection="0"/>
    <xf numFmtId="0" fontId="58" fillId="33" borderId="384" applyNumberFormat="0" applyAlignment="0" applyProtection="0"/>
    <xf numFmtId="0" fontId="58" fillId="33" borderId="384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26" borderId="359" applyNumberFormat="0" applyAlignment="0" applyProtection="0"/>
    <xf numFmtId="0" fontId="57" fillId="17" borderId="359" applyNumberFormat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49" fillId="0" borderId="358" applyNumberFormat="0" applyFill="0" applyAlignment="0" applyProtection="0"/>
    <xf numFmtId="0" fontId="49" fillId="0" borderId="358" applyNumberFormat="0" applyFill="0" applyAlignment="0" applyProtection="0"/>
    <xf numFmtId="0" fontId="6" fillId="0" borderId="383" applyNumberFormat="0" applyFont="0" applyFill="0" applyAlignment="0" applyProtection="0"/>
    <xf numFmtId="0" fontId="63" fillId="0" borderId="383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83" applyNumberFormat="0" applyFont="0" applyFill="0" applyAlignment="0" applyProtection="0"/>
    <xf numFmtId="0" fontId="6" fillId="0" borderId="383" applyNumberFormat="0" applyFont="0" applyFill="0" applyAlignment="0" applyProtection="0"/>
    <xf numFmtId="0" fontId="6" fillId="0" borderId="383" applyNumberFormat="0" applyFont="0" applyFill="0" applyAlignment="0" applyProtection="0"/>
    <xf numFmtId="0" fontId="63" fillId="0" borderId="38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53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60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6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54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63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5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57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6" fillId="0" borderId="364" applyNumberFormat="0" applyFont="0" applyFill="0" applyAlignment="0" applyProtection="0"/>
    <xf numFmtId="0" fontId="106" fillId="58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106" fillId="26" borderId="361" applyNumberFormat="0" applyAlignment="0" applyProtection="0"/>
    <xf numFmtId="0" fontId="6" fillId="0" borderId="386" applyNumberFormat="0" applyFont="0" applyFill="0" applyAlignment="0" applyProtection="0"/>
    <xf numFmtId="0" fontId="63" fillId="0" borderId="386" applyNumberFormat="0" applyFont="0" applyFill="0" applyAlignment="0" applyProtection="0"/>
    <xf numFmtId="204" fontId="69" fillId="0" borderId="365">
      <protection locked="0"/>
    </xf>
    <xf numFmtId="204" fontId="69" fillId="0" borderId="365">
      <protection locked="0"/>
    </xf>
    <xf numFmtId="0" fontId="6" fillId="0" borderId="386" applyNumberFormat="0" applyFont="0" applyFill="0" applyAlignment="0" applyProtection="0"/>
    <xf numFmtId="0" fontId="6" fillId="0" borderId="386" applyNumberFormat="0" applyFont="0" applyFill="0" applyAlignment="0" applyProtection="0"/>
    <xf numFmtId="0" fontId="6" fillId="0" borderId="386" applyNumberFormat="0" applyFont="0" applyFill="0" applyAlignment="0" applyProtection="0"/>
    <xf numFmtId="0" fontId="63" fillId="0" borderId="386" applyNumberFormat="0" applyFont="0" applyFill="0" applyAlignment="0" applyProtection="0"/>
    <xf numFmtId="0" fontId="76" fillId="18" borderId="184" applyNumberFormat="0" applyAlignment="0" applyProtection="0"/>
    <xf numFmtId="0" fontId="6" fillId="0" borderId="387" applyNumberFormat="0" applyFont="0" applyFill="0" applyAlignment="0" applyProtection="0"/>
    <xf numFmtId="0" fontId="63" fillId="0" borderId="387" applyNumberFormat="0" applyFont="0" applyFill="0" applyAlignment="0" applyProtection="0"/>
    <xf numFmtId="0" fontId="6" fillId="0" borderId="387" applyNumberFormat="0" applyFont="0" applyFill="0" applyAlignment="0" applyProtection="0"/>
    <xf numFmtId="0" fontId="6" fillId="0" borderId="387" applyNumberFormat="0" applyFont="0" applyFill="0" applyAlignment="0" applyProtection="0"/>
    <xf numFmtId="0" fontId="6" fillId="0" borderId="387" applyNumberFormat="0" applyFont="0" applyFill="0" applyAlignment="0" applyProtection="0"/>
    <xf numFmtId="0" fontId="63" fillId="0" borderId="387" applyNumberFormat="0" applyFont="0" applyFill="0" applyAlignment="0" applyProtection="0"/>
    <xf numFmtId="0" fontId="57" fillId="17" borderId="393" applyNumberFormat="0" applyAlignment="0" applyProtection="0"/>
    <xf numFmtId="0" fontId="57" fillId="26" borderId="393" applyNumberFormat="0" applyAlignment="0" applyProtection="0"/>
    <xf numFmtId="0" fontId="57" fillId="26" borderId="393" applyNumberFormat="0" applyAlignment="0" applyProtection="0"/>
    <xf numFmtId="0" fontId="57" fillId="26" borderId="393" applyNumberFormat="0" applyAlignment="0" applyProtection="0"/>
    <xf numFmtId="0" fontId="57" fillId="26" borderId="393" applyNumberFormat="0" applyAlignment="0" applyProtection="0"/>
    <xf numFmtId="0" fontId="58" fillId="33" borderId="394" applyNumberFormat="0" applyAlignment="0" applyProtection="0"/>
    <xf numFmtId="0" fontId="58" fillId="33" borderId="394" applyNumberFormat="0" applyAlignment="0" applyProtection="0"/>
    <xf numFmtId="0" fontId="58" fillId="33" borderId="394" applyNumberFormat="0" applyAlignment="0" applyProtection="0"/>
    <xf numFmtId="0" fontId="58" fillId="33" borderId="394" applyNumberFormat="0" applyAlignment="0" applyProtection="0"/>
    <xf numFmtId="188" fontId="61" fillId="0" borderId="395">
      <alignment horizontal="center"/>
      <protection locked="0"/>
    </xf>
    <xf numFmtId="0" fontId="62" fillId="33" borderId="394" applyNumberFormat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0" fontId="7" fillId="0" borderId="390" applyNumberFormat="0" applyFill="0" applyAlignment="0" applyProtection="0"/>
    <xf numFmtId="38" fontId="2" fillId="0" borderId="396">
      <alignment vertical="center"/>
    </xf>
    <xf numFmtId="0" fontId="70" fillId="0" borderId="395" applyNumberFormat="0" applyBorder="0" applyAlignment="0">
      <alignment horizontal="left" vertical="top"/>
    </xf>
    <xf numFmtId="0" fontId="76" fillId="53" borderId="393" applyNumberFormat="0" applyAlignment="0" applyProtection="0"/>
    <xf numFmtId="0" fontId="76" fillId="18" borderId="393" applyNumberFormat="0" applyAlignment="0" applyProtection="0"/>
    <xf numFmtId="0" fontId="76" fillId="18" borderId="393" applyNumberFormat="0" applyAlignment="0" applyProtection="0"/>
    <xf numFmtId="0" fontId="76" fillId="18" borderId="393" applyNumberFormat="0" applyAlignment="0" applyProtection="0"/>
    <xf numFmtId="0" fontId="8" fillId="0" borderId="397">
      <alignment horizontal="left" vertical="center"/>
    </xf>
    <xf numFmtId="0" fontId="76" fillId="18" borderId="393" applyNumberFormat="0" applyAlignment="0" applyProtection="0"/>
    <xf numFmtId="10" fontId="48" fillId="56" borderId="395" applyNumberFormat="0" applyBorder="0" applyAlignment="0" applyProtection="0"/>
    <xf numFmtId="0" fontId="6" fillId="19" borderId="398" applyNumberFormat="0" applyFont="0" applyAlignment="0" applyProtection="0"/>
    <xf numFmtId="0" fontId="6" fillId="19" borderId="398" applyNumberFormat="0" applyFont="0" applyAlignment="0" applyProtection="0"/>
    <xf numFmtId="0" fontId="6" fillId="19" borderId="398" applyNumberFormat="0" applyFont="0" applyAlignment="0" applyProtection="0"/>
    <xf numFmtId="0" fontId="6" fillId="19" borderId="398" applyNumberFormat="0" applyFont="0" applyAlignment="0" applyProtection="0"/>
    <xf numFmtId="0" fontId="6" fillId="19" borderId="398" applyNumberFormat="0" applyFont="0" applyAlignment="0" applyProtection="0"/>
    <xf numFmtId="0" fontId="106" fillId="17" borderId="399" applyNumberFormat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400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8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8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91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389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401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0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39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6" fillId="0" borderId="402" applyNumberFormat="0" applyFont="0" applyFill="0" applyAlignment="0" applyProtection="0"/>
    <xf numFmtId="0" fontId="106" fillId="58" borderId="399" applyNumberFormat="0" applyAlignment="0" applyProtection="0"/>
    <xf numFmtId="0" fontId="106" fillId="26" borderId="399" applyNumberFormat="0" applyAlignment="0" applyProtection="0"/>
    <xf numFmtId="0" fontId="106" fillId="26" borderId="399" applyNumberFormat="0" applyAlignment="0" applyProtection="0"/>
    <xf numFmtId="0" fontId="106" fillId="26" borderId="399" applyNumberFormat="0" applyAlignment="0" applyProtection="0"/>
    <xf numFmtId="0" fontId="6" fillId="0" borderId="403" applyNumberFormat="0" applyFont="0" applyFill="0" applyAlignment="0" applyProtection="0"/>
    <xf numFmtId="0" fontId="63" fillId="0" borderId="403" applyNumberFormat="0" applyFont="0" applyFill="0" applyAlignment="0" applyProtection="0"/>
    <xf numFmtId="204" fontId="69" fillId="0" borderId="404">
      <protection locked="0"/>
    </xf>
    <xf numFmtId="204" fontId="69" fillId="0" borderId="404">
      <protection locked="0"/>
    </xf>
    <xf numFmtId="0" fontId="6" fillId="0" borderId="403" applyNumberFormat="0" applyFont="0" applyFill="0" applyAlignment="0" applyProtection="0"/>
    <xf numFmtId="0" fontId="6" fillId="0" borderId="403" applyNumberFormat="0" applyFont="0" applyFill="0" applyAlignment="0" applyProtection="0"/>
    <xf numFmtId="0" fontId="6" fillId="0" borderId="403" applyNumberFormat="0" applyFont="0" applyFill="0" applyAlignment="0" applyProtection="0"/>
    <xf numFmtId="0" fontId="63" fillId="0" borderId="403" applyNumberFormat="0" applyFont="0" applyFill="0" applyAlignment="0" applyProtection="0"/>
    <xf numFmtId="0" fontId="7" fillId="0" borderId="425" applyNumberFormat="0" applyFill="0" applyAlignment="0" applyProtection="0"/>
    <xf numFmtId="0" fontId="70" fillId="0" borderId="430" applyNumberFormat="0" applyBorder="0" applyAlignment="0">
      <alignment horizontal="left" vertical="top"/>
    </xf>
    <xf numFmtId="0" fontId="57" fillId="17" borderId="445" applyNumberFormat="0" applyAlignment="0" applyProtection="0"/>
    <xf numFmtId="0" fontId="57" fillId="26" borderId="445" applyNumberFormat="0" applyAlignment="0" applyProtection="0"/>
    <xf numFmtId="0" fontId="57" fillId="26" borderId="445" applyNumberFormat="0" applyAlignment="0" applyProtection="0"/>
    <xf numFmtId="0" fontId="57" fillId="26" borderId="445" applyNumberFormat="0" applyAlignment="0" applyProtection="0"/>
    <xf numFmtId="0" fontId="57" fillId="26" borderId="445" applyNumberFormat="0" applyAlignment="0" applyProtection="0"/>
    <xf numFmtId="0" fontId="58" fillId="33" borderId="446" applyNumberFormat="0" applyAlignment="0" applyProtection="0"/>
    <xf numFmtId="0" fontId="58" fillId="33" borderId="446" applyNumberFormat="0" applyAlignment="0" applyProtection="0"/>
    <xf numFmtId="0" fontId="58" fillId="33" borderId="446" applyNumberFormat="0" applyAlignment="0" applyProtection="0"/>
    <xf numFmtId="0" fontId="58" fillId="33" borderId="446" applyNumberFormat="0" applyAlignment="0" applyProtection="0"/>
    <xf numFmtId="0" fontId="62" fillId="33" borderId="446" applyNumberFormat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6" fillId="0" borderId="434" applyNumberFormat="0" applyFon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57" fillId="17" borderId="411" applyNumberFormat="0" applyAlignment="0" applyProtection="0"/>
    <xf numFmtId="0" fontId="57" fillId="26" borderId="411" applyNumberFormat="0" applyAlignment="0" applyProtection="0"/>
    <xf numFmtId="0" fontId="57" fillId="26" borderId="411" applyNumberFormat="0" applyAlignment="0" applyProtection="0"/>
    <xf numFmtId="0" fontId="57" fillId="26" borderId="411" applyNumberFormat="0" applyAlignment="0" applyProtection="0"/>
    <xf numFmtId="0" fontId="57" fillId="26" borderId="411" applyNumberFormat="0" applyAlignment="0" applyProtection="0"/>
    <xf numFmtId="0" fontId="58" fillId="33" borderId="412" applyNumberFormat="0" applyAlignment="0" applyProtection="0"/>
    <xf numFmtId="0" fontId="58" fillId="33" borderId="412" applyNumberFormat="0" applyAlignment="0" applyProtection="0"/>
    <xf numFmtId="0" fontId="58" fillId="33" borderId="412" applyNumberFormat="0" applyAlignment="0" applyProtection="0"/>
    <xf numFmtId="0" fontId="58" fillId="33" borderId="412" applyNumberFormat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62" fillId="33" borderId="412" applyNumberFormat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0" fontId="7" fillId="0" borderId="442" applyNumberFormat="0" applyFill="0" applyAlignment="0" applyProtection="0"/>
    <xf numFmtId="38" fontId="2" fillId="0" borderId="447">
      <alignment vertical="center"/>
    </xf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7" fillId="0" borderId="408" applyNumberFormat="0" applyFill="0" applyAlignment="0" applyProtection="0"/>
    <xf numFmtId="0" fontId="106" fillId="17" borderId="433" applyNumberFormat="0" applyAlignment="0" applyProtection="0"/>
    <xf numFmtId="0" fontId="6" fillId="19" borderId="432" applyNumberFormat="0" applyFont="0" applyAlignment="0" applyProtection="0"/>
    <xf numFmtId="0" fontId="6" fillId="19" borderId="432" applyNumberFormat="0" applyFont="0" applyAlignment="0" applyProtection="0"/>
    <xf numFmtId="0" fontId="6" fillId="19" borderId="432" applyNumberFormat="0" applyFont="0" applyAlignment="0" applyProtection="0"/>
    <xf numFmtId="0" fontId="6" fillId="19" borderId="432" applyNumberFormat="0" applyFont="0" applyAlignment="0" applyProtection="0"/>
    <xf numFmtId="38" fontId="2" fillId="0" borderId="413">
      <alignment vertical="center"/>
    </xf>
    <xf numFmtId="0" fontId="6" fillId="19" borderId="432" applyNumberFormat="0" applyFont="0" applyAlignment="0" applyProtection="0"/>
    <xf numFmtId="10" fontId="48" fillId="56" borderId="430" applyNumberFormat="0" applyBorder="0" applyAlignment="0" applyProtection="0"/>
    <xf numFmtId="0" fontId="76" fillId="18" borderId="428" applyNumberFormat="0" applyAlignment="0" applyProtection="0"/>
    <xf numFmtId="0" fontId="76" fillId="53" borderId="445" applyNumberFormat="0" applyAlignment="0" applyProtection="0"/>
    <xf numFmtId="0" fontId="76" fillId="18" borderId="445" applyNumberFormat="0" applyAlignment="0" applyProtection="0"/>
    <xf numFmtId="0" fontId="76" fillId="18" borderId="445" applyNumberFormat="0" applyAlignment="0" applyProtection="0"/>
    <xf numFmtId="0" fontId="76" fillId="18" borderId="445" applyNumberFormat="0" applyAlignment="0" applyProtection="0"/>
    <xf numFmtId="0" fontId="8" fillId="0" borderId="424">
      <alignment horizontal="left" vertical="center"/>
    </xf>
    <xf numFmtId="0" fontId="76" fillId="53" borderId="411" applyNumberFormat="0" applyAlignment="0" applyProtection="0"/>
    <xf numFmtId="0" fontId="76" fillId="18" borderId="411" applyNumberFormat="0" applyAlignment="0" applyProtection="0"/>
    <xf numFmtId="0" fontId="76" fillId="18" borderId="411" applyNumberFormat="0" applyAlignment="0" applyProtection="0"/>
    <xf numFmtId="0" fontId="76" fillId="18" borderId="411" applyNumberFormat="0" applyAlignment="0" applyProtection="0"/>
    <xf numFmtId="0" fontId="76" fillId="18" borderId="428" applyNumberFormat="0" applyAlignment="0" applyProtection="0"/>
    <xf numFmtId="0" fontId="76" fillId="18" borderId="428" applyNumberFormat="0" applyAlignment="0" applyProtection="0"/>
    <xf numFmtId="0" fontId="76" fillId="18" borderId="428" applyNumberFormat="0" applyAlignment="0" applyProtection="0"/>
    <xf numFmtId="0" fontId="76" fillId="53" borderId="428" applyNumberFormat="0" applyAlignment="0" applyProtection="0"/>
    <xf numFmtId="0" fontId="8" fillId="0" borderId="405">
      <alignment horizontal="left" vertical="center"/>
    </xf>
    <xf numFmtId="0" fontId="76" fillId="18" borderId="445" applyNumberFormat="0" applyAlignment="0" applyProtection="0"/>
    <xf numFmtId="0" fontId="76" fillId="18" borderId="411" applyNumberFormat="0" applyAlignment="0" applyProtection="0"/>
    <xf numFmtId="38" fontId="2" fillId="0" borderId="431">
      <alignment vertical="center"/>
    </xf>
    <xf numFmtId="0" fontId="6" fillId="19" borderId="414" applyNumberFormat="0" applyFont="0" applyAlignment="0" applyProtection="0"/>
    <xf numFmtId="0" fontId="6" fillId="19" borderId="414" applyNumberFormat="0" applyFont="0" applyAlignment="0" applyProtection="0"/>
    <xf numFmtId="0" fontId="6" fillId="19" borderId="414" applyNumberFormat="0" applyFont="0" applyAlignment="0" applyProtection="0"/>
    <xf numFmtId="0" fontId="6" fillId="19" borderId="414" applyNumberFormat="0" applyFont="0" applyAlignment="0" applyProtection="0"/>
    <xf numFmtId="0" fontId="6" fillId="19" borderId="414" applyNumberFormat="0" applyFont="0" applyAlignment="0" applyProtection="0"/>
    <xf numFmtId="0" fontId="106" fillId="17" borderId="415" applyNumberFormat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7" fillId="0" borderId="425" applyNumberFormat="0" applyFill="0" applyAlignment="0" applyProtection="0"/>
    <xf numFmtId="0" fontId="62" fillId="33" borderId="429" applyNumberFormat="0" applyAlignment="0" applyProtection="0"/>
    <xf numFmtId="188" fontId="61" fillId="0" borderId="430">
      <alignment horizontal="center"/>
      <protection locked="0"/>
    </xf>
    <xf numFmtId="0" fontId="58" fillId="33" borderId="429" applyNumberFormat="0" applyAlignment="0" applyProtection="0"/>
    <xf numFmtId="0" fontId="58" fillId="33" borderId="429" applyNumberFormat="0" applyAlignment="0" applyProtection="0"/>
    <xf numFmtId="0" fontId="58" fillId="33" borderId="429" applyNumberFormat="0" applyAlignment="0" applyProtection="0"/>
    <xf numFmtId="0" fontId="58" fillId="33" borderId="429" applyNumberFormat="0" applyAlignment="0" applyProtection="0"/>
    <xf numFmtId="0" fontId="57" fillId="26" borderId="428" applyNumberFormat="0" applyAlignment="0" applyProtection="0"/>
    <xf numFmtId="0" fontId="57" fillId="26" borderId="428" applyNumberFormat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6" fillId="0" borderId="416" applyNumberFormat="0" applyFont="0" applyFill="0" applyAlignment="0" applyProtection="0"/>
    <xf numFmtId="0" fontId="57" fillId="26" borderId="428" applyNumberFormat="0" applyAlignment="0" applyProtection="0"/>
    <xf numFmtId="0" fontId="57" fillId="26" borderId="428" applyNumberFormat="0" applyAlignment="0" applyProtection="0"/>
    <xf numFmtId="0" fontId="57" fillId="17" borderId="428" applyNumberFormat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06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14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9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0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17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08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0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6" fillId="0" borderId="418" applyNumberFormat="0" applyFont="0" applyFill="0" applyAlignment="0" applyProtection="0"/>
    <xf numFmtId="0" fontId="106" fillId="58" borderId="415" applyNumberFormat="0" applyAlignment="0" applyProtection="0"/>
    <xf numFmtId="0" fontId="106" fillId="26" borderId="415" applyNumberFormat="0" applyAlignment="0" applyProtection="0"/>
    <xf numFmtId="0" fontId="106" fillId="26" borderId="415" applyNumberFormat="0" applyAlignment="0" applyProtection="0"/>
    <xf numFmtId="0" fontId="106" fillId="26" borderId="415" applyNumberFormat="0" applyAlignment="0" applyProtection="0"/>
    <xf numFmtId="0" fontId="49" fillId="0" borderId="405" applyNumberFormat="0" applyFill="0" applyAlignment="0" applyProtection="0"/>
    <xf numFmtId="0" fontId="49" fillId="0" borderId="405" applyNumberFormat="0" applyFill="0" applyAlignment="0" applyProtection="0"/>
    <xf numFmtId="0" fontId="6" fillId="0" borderId="419" applyNumberFormat="0" applyFont="0" applyFill="0" applyAlignment="0" applyProtection="0"/>
    <xf numFmtId="0" fontId="63" fillId="0" borderId="419" applyNumberFormat="0" applyFont="0" applyFill="0" applyAlignment="0" applyProtection="0"/>
    <xf numFmtId="204" fontId="69" fillId="0" borderId="420">
      <protection locked="0"/>
    </xf>
    <xf numFmtId="204" fontId="69" fillId="0" borderId="420">
      <protection locked="0"/>
    </xf>
    <xf numFmtId="0" fontId="6" fillId="0" borderId="419" applyNumberFormat="0" applyFont="0" applyFill="0" applyAlignment="0" applyProtection="0"/>
    <xf numFmtId="0" fontId="6" fillId="0" borderId="419" applyNumberFormat="0" applyFont="0" applyFill="0" applyAlignment="0" applyProtection="0"/>
    <xf numFmtId="0" fontId="6" fillId="0" borderId="419" applyNumberFormat="0" applyFont="0" applyFill="0" applyAlignment="0" applyProtection="0"/>
    <xf numFmtId="0" fontId="63" fillId="0" borderId="419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2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32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6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23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3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5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27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6" fillId="0" borderId="436" applyNumberFormat="0" applyFont="0" applyFill="0" applyAlignment="0" applyProtection="0"/>
    <xf numFmtId="0" fontId="106" fillId="58" borderId="433" applyNumberFormat="0" applyAlignment="0" applyProtection="0"/>
    <xf numFmtId="0" fontId="106" fillId="26" borderId="433" applyNumberFormat="0" applyAlignment="0" applyProtection="0"/>
    <xf numFmtId="0" fontId="106" fillId="26" borderId="433" applyNumberFormat="0" applyAlignment="0" applyProtection="0"/>
    <xf numFmtId="0" fontId="106" fillId="26" borderId="433" applyNumberFormat="0" applyAlignment="0" applyProtection="0"/>
    <xf numFmtId="0" fontId="49" fillId="0" borderId="421" applyNumberFormat="0" applyFill="0" applyAlignment="0" applyProtection="0"/>
    <xf numFmtId="0" fontId="49" fillId="0" borderId="421" applyNumberFormat="0" applyFill="0" applyAlignment="0" applyProtection="0"/>
    <xf numFmtId="0" fontId="6" fillId="0" borderId="437" applyNumberFormat="0" applyFont="0" applyFill="0" applyAlignment="0" applyProtection="0"/>
    <xf numFmtId="0" fontId="63" fillId="0" borderId="437" applyNumberFormat="0" applyFont="0" applyFill="0" applyAlignment="0" applyProtection="0"/>
    <xf numFmtId="204" fontId="69" fillId="0" borderId="438">
      <protection locked="0"/>
    </xf>
    <xf numFmtId="204" fontId="69" fillId="0" borderId="438">
      <protection locked="0"/>
    </xf>
    <xf numFmtId="0" fontId="6" fillId="0" borderId="437" applyNumberFormat="0" applyFont="0" applyFill="0" applyAlignment="0" applyProtection="0"/>
    <xf numFmtId="0" fontId="6" fillId="0" borderId="437" applyNumberFormat="0" applyFont="0" applyFill="0" applyAlignment="0" applyProtection="0"/>
    <xf numFmtId="0" fontId="6" fillId="0" borderId="437" applyNumberFormat="0" applyFont="0" applyFill="0" applyAlignment="0" applyProtection="0"/>
    <xf numFmtId="0" fontId="63" fillId="0" borderId="437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0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3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1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2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6" fillId="0" borderId="444" applyNumberFormat="0" applyFont="0" applyFill="0" applyAlignment="0" applyProtection="0"/>
    <xf numFmtId="0" fontId="49" fillId="0" borderId="439" applyNumberFormat="0" applyFill="0" applyAlignment="0" applyProtection="0"/>
    <xf numFmtId="0" fontId="49" fillId="0" borderId="439" applyNumberFormat="0" applyFill="0" applyAlignment="0" applyProtection="0"/>
    <xf numFmtId="0" fontId="6" fillId="0" borderId="448" applyNumberFormat="0" applyFont="0" applyFill="0" applyAlignment="0" applyProtection="0"/>
    <xf numFmtId="0" fontId="63" fillId="0" borderId="448" applyNumberFormat="0" applyFont="0" applyFill="0" applyAlignment="0" applyProtection="0"/>
    <xf numFmtId="0" fontId="6" fillId="0" borderId="448" applyNumberFormat="0" applyFont="0" applyFill="0" applyAlignment="0" applyProtection="0"/>
    <xf numFmtId="0" fontId="6" fillId="0" borderId="448" applyNumberFormat="0" applyFont="0" applyFill="0" applyAlignment="0" applyProtection="0"/>
    <xf numFmtId="0" fontId="6" fillId="0" borderId="448" applyNumberFormat="0" applyFont="0" applyFill="0" applyAlignment="0" applyProtection="0"/>
    <xf numFmtId="0" fontId="63" fillId="0" borderId="448" applyNumberFormat="0" applyFont="0" applyFill="0" applyAlignment="0" applyProtection="0"/>
    <xf numFmtId="0" fontId="57" fillId="17" borderId="455" applyNumberFormat="0" applyAlignment="0" applyProtection="0"/>
    <xf numFmtId="0" fontId="57" fillId="26" borderId="455" applyNumberFormat="0" applyAlignment="0" applyProtection="0"/>
    <xf numFmtId="0" fontId="57" fillId="26" borderId="455" applyNumberFormat="0" applyAlignment="0" applyProtection="0"/>
    <xf numFmtId="0" fontId="57" fillId="26" borderId="455" applyNumberFormat="0" applyAlignment="0" applyProtection="0"/>
    <xf numFmtId="0" fontId="57" fillId="26" borderId="455" applyNumberFormat="0" applyAlignment="0" applyProtection="0"/>
    <xf numFmtId="188" fontId="61" fillId="0" borderId="449">
      <alignment horizontal="center"/>
      <protection locked="0"/>
    </xf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" fillId="0" borderId="452" applyNumberFormat="0" applyFill="0" applyAlignment="0" applyProtection="0"/>
    <xf numFmtId="0" fontId="70" fillId="0" borderId="449" applyNumberFormat="0" applyBorder="0" applyAlignment="0">
      <alignment horizontal="left" vertical="top"/>
    </xf>
    <xf numFmtId="0" fontId="76" fillId="53" borderId="455" applyNumberFormat="0" applyAlignment="0" applyProtection="0"/>
    <xf numFmtId="0" fontId="76" fillId="18" borderId="455" applyNumberFormat="0" applyAlignment="0" applyProtection="0"/>
    <xf numFmtId="0" fontId="76" fillId="18" borderId="455" applyNumberFormat="0" applyAlignment="0" applyProtection="0"/>
    <xf numFmtId="0" fontId="76" fillId="18" borderId="455" applyNumberFormat="0" applyAlignment="0" applyProtection="0"/>
    <xf numFmtId="0" fontId="8" fillId="0" borderId="451">
      <alignment horizontal="left" vertical="center"/>
    </xf>
    <xf numFmtId="0" fontId="76" fillId="18" borderId="455" applyNumberFormat="0" applyAlignment="0" applyProtection="0"/>
    <xf numFmtId="10" fontId="48" fillId="56" borderId="449" applyNumberFormat="0" applyBorder="0" applyAlignment="0" applyProtection="0"/>
    <xf numFmtId="0" fontId="6" fillId="19" borderId="456" applyNumberFormat="0" applyFont="0" applyAlignment="0" applyProtection="0"/>
    <xf numFmtId="0" fontId="6" fillId="19" borderId="456" applyNumberFormat="0" applyFont="0" applyAlignment="0" applyProtection="0"/>
    <xf numFmtId="0" fontId="6" fillId="19" borderId="456" applyNumberFormat="0" applyFont="0" applyAlignment="0" applyProtection="0"/>
    <xf numFmtId="0" fontId="6" fillId="19" borderId="456" applyNumberFormat="0" applyFont="0" applyAlignment="0" applyProtection="0"/>
    <xf numFmtId="0" fontId="6" fillId="19" borderId="456" applyNumberFormat="0" applyFont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7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6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3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8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2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4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6" fillId="0" borderId="459" applyNumberFormat="0" applyFont="0" applyFill="0" applyAlignment="0" applyProtection="0"/>
    <xf numFmtId="0" fontId="49" fillId="0" borderId="450" applyNumberFormat="0" applyFill="0" applyAlignment="0" applyProtection="0"/>
    <xf numFmtId="0" fontId="49" fillId="0" borderId="450" applyNumberFormat="0" applyFill="0" applyAlignment="0" applyProtection="0"/>
    <xf numFmtId="204" fontId="69" fillId="0" borderId="460">
      <protection locked="0"/>
    </xf>
    <xf numFmtId="204" fontId="69" fillId="0" borderId="460">
      <protection locked="0"/>
    </xf>
    <xf numFmtId="0" fontId="57" fillId="17" borderId="468" applyNumberFormat="0" applyAlignment="0" applyProtection="0"/>
    <xf numFmtId="0" fontId="57" fillId="26" borderId="468" applyNumberFormat="0" applyAlignment="0" applyProtection="0"/>
    <xf numFmtId="0" fontId="57" fillId="26" borderId="468" applyNumberFormat="0" applyAlignment="0" applyProtection="0"/>
    <xf numFmtId="0" fontId="57" fillId="26" borderId="468" applyNumberFormat="0" applyAlignment="0" applyProtection="0"/>
    <xf numFmtId="0" fontId="57" fillId="26" borderId="468" applyNumberFormat="0" applyAlignment="0" applyProtection="0"/>
    <xf numFmtId="188" fontId="61" fillId="0" borderId="469">
      <alignment horizontal="center"/>
      <protection locked="0"/>
    </xf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" fillId="0" borderId="465" applyNumberFormat="0" applyFill="0" applyAlignment="0" applyProtection="0"/>
    <xf numFmtId="0" fontId="70" fillId="0" borderId="469" applyNumberFormat="0" applyBorder="0" applyAlignment="0">
      <alignment horizontal="left" vertical="top"/>
    </xf>
    <xf numFmtId="0" fontId="76" fillId="53" borderId="468" applyNumberFormat="0" applyAlignment="0" applyProtection="0"/>
    <xf numFmtId="0" fontId="76" fillId="18" borderId="468" applyNumberFormat="0" applyAlignment="0" applyProtection="0"/>
    <xf numFmtId="0" fontId="76" fillId="18" borderId="468" applyNumberFormat="0" applyAlignment="0" applyProtection="0"/>
    <xf numFmtId="0" fontId="76" fillId="18" borderId="468" applyNumberFormat="0" applyAlignment="0" applyProtection="0"/>
    <xf numFmtId="0" fontId="76" fillId="18" borderId="468" applyNumberFormat="0" applyAlignment="0" applyProtection="0"/>
    <xf numFmtId="10" fontId="48" fillId="56" borderId="469" applyNumberFormat="0" applyBorder="0" applyAlignment="0" applyProtection="0"/>
    <xf numFmtId="0" fontId="6" fillId="19" borderId="470" applyNumberFormat="0" applyFont="0" applyAlignment="0" applyProtection="0"/>
    <xf numFmtId="0" fontId="6" fillId="19" borderId="470" applyNumberFormat="0" applyFont="0" applyAlignment="0" applyProtection="0"/>
    <xf numFmtId="0" fontId="6" fillId="19" borderId="470" applyNumberFormat="0" applyFont="0" applyAlignment="0" applyProtection="0"/>
    <xf numFmtId="0" fontId="6" fillId="19" borderId="470" applyNumberFormat="0" applyFont="0" applyAlignment="0" applyProtection="0"/>
    <xf numFmtId="0" fontId="6" fillId="19" borderId="470" applyNumberFormat="0" applyFont="0" applyAlignment="0" applyProtection="0"/>
    <xf numFmtId="0" fontId="106" fillId="17" borderId="471" applyNumberFormat="0" applyAlignment="0" applyProtection="0"/>
    <xf numFmtId="0" fontId="7" fillId="0" borderId="472" applyNumberFormat="0" applyFill="0" applyAlignment="0" applyProtection="0"/>
    <xf numFmtId="0" fontId="7" fillId="0" borderId="472" applyNumberFormat="0" applyFill="0" applyAlignment="0" applyProtection="0"/>
    <xf numFmtId="0" fontId="7" fillId="0" borderId="472" applyNumberFormat="0" applyFill="0" applyAlignment="0" applyProtection="0"/>
    <xf numFmtId="0" fontId="7" fillId="0" borderId="472" applyNumberFormat="0" applyFill="0" applyAlignment="0" applyProtection="0"/>
    <xf numFmtId="0" fontId="7" fillId="0" borderId="472" applyNumberForma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3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4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2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63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70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6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64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7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5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67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6" fillId="0" borderId="476" applyNumberFormat="0" applyFont="0" applyFill="0" applyAlignment="0" applyProtection="0"/>
    <xf numFmtId="0" fontId="106" fillId="58" borderId="471" applyNumberFormat="0" applyAlignment="0" applyProtection="0"/>
    <xf numFmtId="0" fontId="106" fillId="26" borderId="471" applyNumberFormat="0" applyAlignment="0" applyProtection="0"/>
    <xf numFmtId="0" fontId="106" fillId="26" borderId="471" applyNumberFormat="0" applyAlignment="0" applyProtection="0"/>
    <xf numFmtId="0" fontId="106" fillId="26" borderId="471" applyNumberFormat="0" applyAlignment="0" applyProtection="0"/>
    <xf numFmtId="0" fontId="49" fillId="0" borderId="451" applyNumberFormat="0" applyFill="0" applyAlignment="0" applyProtection="0"/>
    <xf numFmtId="0" fontId="49" fillId="0" borderId="451" applyNumberFormat="0" applyFill="0" applyAlignment="0" applyProtection="0"/>
    <xf numFmtId="0" fontId="6" fillId="0" borderId="461" applyNumberFormat="0" applyFont="0" applyFill="0" applyAlignment="0" applyProtection="0"/>
    <xf numFmtId="0" fontId="63" fillId="0" borderId="461" applyNumberFormat="0" applyFont="0" applyFill="0" applyAlignment="0" applyProtection="0"/>
    <xf numFmtId="204" fontId="69" fillId="0" borderId="477">
      <protection locked="0"/>
    </xf>
    <xf numFmtId="204" fontId="69" fillId="0" borderId="477">
      <protection locked="0"/>
    </xf>
    <xf numFmtId="0" fontId="6" fillId="0" borderId="461" applyNumberFormat="0" applyFont="0" applyFill="0" applyAlignment="0" applyProtection="0"/>
    <xf numFmtId="0" fontId="6" fillId="0" borderId="461" applyNumberFormat="0" applyFont="0" applyFill="0" applyAlignment="0" applyProtection="0"/>
    <xf numFmtId="0" fontId="6" fillId="0" borderId="461" applyNumberFormat="0" applyFont="0" applyFill="0" applyAlignment="0" applyProtection="0"/>
    <xf numFmtId="0" fontId="63" fillId="0" borderId="461" applyNumberFormat="0" applyFont="0" applyFill="0" applyAlignment="0" applyProtection="0"/>
    <xf numFmtId="0" fontId="6" fillId="0" borderId="508" applyNumberFormat="0" applyFont="0" applyFill="0" applyAlignment="0" applyProtection="0"/>
    <xf numFmtId="0" fontId="7" fillId="0" borderId="498" applyNumberForma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7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9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6" fillId="0" borderId="508" applyNumberFormat="0" applyFont="0" applyFill="0" applyAlignment="0" applyProtection="0"/>
    <xf numFmtId="0" fontId="57" fillId="17" borderId="519" applyNumberFormat="0" applyAlignment="0" applyProtection="0"/>
    <xf numFmtId="0" fontId="57" fillId="26" borderId="519" applyNumberFormat="0" applyAlignment="0" applyProtection="0"/>
    <xf numFmtId="0" fontId="57" fillId="26" borderId="519" applyNumberFormat="0" applyAlignment="0" applyProtection="0"/>
    <xf numFmtId="0" fontId="57" fillId="26" borderId="519" applyNumberFormat="0" applyAlignment="0" applyProtection="0"/>
    <xf numFmtId="0" fontId="57" fillId="26" borderId="519" applyNumberFormat="0" applyAlignment="0" applyProtection="0"/>
    <xf numFmtId="0" fontId="57" fillId="17" borderId="485" applyNumberFormat="0" applyAlignment="0" applyProtection="0"/>
    <xf numFmtId="0" fontId="57" fillId="26" borderId="485" applyNumberFormat="0" applyAlignment="0" applyProtection="0"/>
    <xf numFmtId="0" fontId="57" fillId="26" borderId="485" applyNumberFormat="0" applyAlignment="0" applyProtection="0"/>
    <xf numFmtId="0" fontId="57" fillId="26" borderId="485" applyNumberFormat="0" applyAlignment="0" applyProtection="0"/>
    <xf numFmtId="0" fontId="57" fillId="26" borderId="485" applyNumberFormat="0" applyAlignment="0" applyProtection="0"/>
    <xf numFmtId="188" fontId="61" fillId="0" borderId="486">
      <alignment horizontal="center"/>
      <protection locked="0"/>
    </xf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507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482" applyNumberFormat="0" applyFill="0" applyAlignment="0" applyProtection="0"/>
    <xf numFmtId="0" fontId="7" fillId="0" borderId="507" applyNumberFormat="0" applyFill="0" applyAlignment="0" applyProtection="0"/>
    <xf numFmtId="0" fontId="7" fillId="0" borderId="507" applyNumberFormat="0" applyFill="0" applyAlignment="0" applyProtection="0"/>
    <xf numFmtId="0" fontId="7" fillId="0" borderId="507" applyNumberFormat="0" applyFill="0" applyAlignment="0" applyProtection="0"/>
    <xf numFmtId="0" fontId="7" fillId="0" borderId="507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7" fillId="0" borderId="516" applyNumberFormat="0" applyFill="0" applyAlignment="0" applyProtection="0"/>
    <xf numFmtId="0" fontId="106" fillId="17" borderId="506" applyNumberFormat="0" applyAlignment="0" applyProtection="0"/>
    <xf numFmtId="0" fontId="6" fillId="19" borderId="505" applyNumberFormat="0" applyFont="0" applyAlignment="0" applyProtection="0"/>
    <xf numFmtId="0" fontId="6" fillId="19" borderId="505" applyNumberFormat="0" applyFont="0" applyAlignment="0" applyProtection="0"/>
    <xf numFmtId="0" fontId="6" fillId="19" borderId="505" applyNumberFormat="0" applyFont="0" applyAlignment="0" applyProtection="0"/>
    <xf numFmtId="0" fontId="6" fillId="19" borderId="505" applyNumberFormat="0" applyFont="0" applyAlignment="0" applyProtection="0"/>
    <xf numFmtId="0" fontId="6" fillId="19" borderId="505" applyNumberFormat="0" applyFont="0" applyAlignment="0" applyProtection="0"/>
    <xf numFmtId="0" fontId="70" fillId="0" borderId="486" applyNumberFormat="0" applyBorder="0" applyAlignment="0">
      <alignment horizontal="left" vertical="top"/>
    </xf>
    <xf numFmtId="0" fontId="48" fillId="0" borderId="495" applyNumberFormat="0" applyFill="0" applyBorder="0" applyAlignment="0">
      <alignment vertical="center"/>
    </xf>
    <xf numFmtId="10" fontId="48" fillId="56" borderId="503" applyNumberFormat="0" applyBorder="0" applyAlignment="0" applyProtection="0"/>
    <xf numFmtId="0" fontId="76" fillId="18" borderId="501" applyNumberFormat="0" applyAlignment="0" applyProtection="0"/>
    <xf numFmtId="0" fontId="87" fillId="0" borderId="495" applyNumberFormat="0" applyFill="0" applyBorder="0" applyAlignment="0"/>
    <xf numFmtId="10" fontId="48" fillId="56" borderId="529" applyNumberFormat="0" applyBorder="0" applyAlignment="0" applyProtection="0"/>
    <xf numFmtId="0" fontId="76" fillId="18" borderId="519" applyNumberFormat="0" applyAlignment="0" applyProtection="0"/>
    <xf numFmtId="0" fontId="76" fillId="53" borderId="485" applyNumberFormat="0" applyAlignment="0" applyProtection="0"/>
    <xf numFmtId="0" fontId="76" fillId="18" borderId="485" applyNumberFormat="0" applyAlignment="0" applyProtection="0"/>
    <xf numFmtId="0" fontId="76" fillId="18" borderId="485" applyNumberFormat="0" applyAlignment="0" applyProtection="0"/>
    <xf numFmtId="0" fontId="76" fillId="18" borderId="485" applyNumberFormat="0" applyAlignment="0" applyProtection="0"/>
    <xf numFmtId="0" fontId="76" fillId="53" borderId="519" applyNumberFormat="0" applyAlignment="0" applyProtection="0"/>
    <xf numFmtId="0" fontId="76" fillId="18" borderId="519" applyNumberFormat="0" applyAlignment="0" applyProtection="0"/>
    <xf numFmtId="0" fontId="76" fillId="18" borderId="519" applyNumberFormat="0" applyAlignment="0" applyProtection="0"/>
    <xf numFmtId="0" fontId="76" fillId="18" borderId="519" applyNumberFormat="0" applyAlignment="0" applyProtection="0"/>
    <xf numFmtId="0" fontId="76" fillId="18" borderId="501" applyNumberFormat="0" applyAlignment="0" applyProtection="0"/>
    <xf numFmtId="0" fontId="76" fillId="18" borderId="501" applyNumberFormat="0" applyAlignment="0" applyProtection="0"/>
    <xf numFmtId="0" fontId="76" fillId="18" borderId="501" applyNumberFormat="0" applyAlignment="0" applyProtection="0"/>
    <xf numFmtId="0" fontId="76" fillId="53" borderId="501" applyNumberFormat="0" applyAlignment="0" applyProtection="0"/>
    <xf numFmtId="0" fontId="76" fillId="18" borderId="485" applyNumberFormat="0" applyAlignment="0" applyProtection="0"/>
    <xf numFmtId="10" fontId="48" fillId="56" borderId="486" applyNumberFormat="0" applyBorder="0" applyAlignment="0" applyProtection="0"/>
    <xf numFmtId="0" fontId="76" fillId="18" borderId="519" applyNumberFormat="0" applyAlignment="0" applyProtection="0"/>
    <xf numFmtId="0" fontId="70" fillId="0" borderId="503" applyNumberFormat="0" applyBorder="0" applyAlignment="0">
      <alignment horizontal="left" vertical="top"/>
    </xf>
    <xf numFmtId="200" fontId="65" fillId="0" borderId="495">
      <alignment horizontal="center"/>
    </xf>
    <xf numFmtId="0" fontId="6" fillId="19" borderId="487" applyNumberFormat="0" applyFont="0" applyAlignment="0" applyProtection="0"/>
    <xf numFmtId="0" fontId="6" fillId="19" borderId="487" applyNumberFormat="0" applyFont="0" applyAlignment="0" applyProtection="0"/>
    <xf numFmtId="0" fontId="6" fillId="19" borderId="487" applyNumberFormat="0" applyFont="0" applyAlignment="0" applyProtection="0"/>
    <xf numFmtId="0" fontId="6" fillId="19" borderId="487" applyNumberFormat="0" applyFont="0" applyAlignment="0" applyProtection="0"/>
    <xf numFmtId="0" fontId="6" fillId="19" borderId="487" applyNumberFormat="0" applyFont="0" applyAlignment="0" applyProtection="0"/>
    <xf numFmtId="38" fontId="2" fillId="0" borderId="504">
      <alignment vertical="center"/>
    </xf>
    <xf numFmtId="0" fontId="106" fillId="17" borderId="488" applyNumberFormat="0" applyAlignment="0" applyProtection="0"/>
    <xf numFmtId="0" fontId="70" fillId="0" borderId="529" applyNumberFormat="0" applyBorder="0" applyAlignment="0">
      <alignment horizontal="left" vertical="top"/>
    </xf>
    <xf numFmtId="0" fontId="6" fillId="19" borderId="520" applyNumberFormat="0" applyFont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6" fillId="19" borderId="520" applyNumberFormat="0" applyFont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7" fillId="0" borderId="498" applyNumberFormat="0" applyFill="0" applyAlignment="0" applyProtection="0"/>
    <xf numFmtId="0" fontId="6" fillId="19" borderId="520" applyNumberFormat="0" applyFont="0" applyAlignment="0" applyProtection="0"/>
    <xf numFmtId="0" fontId="6" fillId="19" borderId="520" applyNumberFormat="0" applyFont="0" applyAlignment="0" applyProtection="0"/>
    <xf numFmtId="0" fontId="6" fillId="19" borderId="520" applyNumberFormat="0" applyFont="0" applyAlignment="0" applyProtection="0"/>
    <xf numFmtId="0" fontId="106" fillId="17" borderId="521" applyNumberFormat="0" applyAlignment="0" applyProtection="0"/>
    <xf numFmtId="38" fontId="2" fillId="0" borderId="530">
      <alignment vertical="center"/>
    </xf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9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0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81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0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" fillId="0" borderId="491" applyNumberFormat="0" applyFont="0" applyFill="0" applyAlignment="0" applyProtection="0"/>
    <xf numFmtId="0" fontId="62" fillId="33" borderId="502" applyNumberFormat="0" applyAlignment="0" applyProtection="0"/>
    <xf numFmtId="188" fontId="61" fillId="0" borderId="503">
      <alignment horizontal="center"/>
      <protection locked="0"/>
    </xf>
    <xf numFmtId="0" fontId="58" fillId="33" borderId="502" applyNumberFormat="0" applyAlignment="0" applyProtection="0"/>
    <xf numFmtId="0" fontId="58" fillId="33" borderId="502" applyNumberFormat="0" applyAlignment="0" applyProtection="0"/>
    <xf numFmtId="0" fontId="58" fillId="33" borderId="502" applyNumberFormat="0" applyAlignment="0" applyProtection="0"/>
    <xf numFmtId="0" fontId="58" fillId="33" borderId="502" applyNumberFormat="0" applyAlignment="0" applyProtection="0"/>
    <xf numFmtId="0" fontId="57" fillId="26" borderId="501" applyNumberFormat="0" applyAlignment="0" applyProtection="0"/>
    <xf numFmtId="0" fontId="57" fillId="26" borderId="501" applyNumberFormat="0" applyAlignment="0" applyProtection="0"/>
    <xf numFmtId="0" fontId="57" fillId="26" borderId="501" applyNumberFormat="0" applyAlignment="0" applyProtection="0"/>
    <xf numFmtId="0" fontId="57" fillId="26" borderId="501" applyNumberFormat="0" applyAlignment="0" applyProtection="0"/>
    <xf numFmtId="0" fontId="57" fillId="17" borderId="501" applyNumberFormat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7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83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9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2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84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6" fillId="0" borderId="493" applyNumberFormat="0" applyFont="0" applyFill="0" applyAlignment="0" applyProtection="0"/>
    <xf numFmtId="0" fontId="106" fillId="58" borderId="488" applyNumberFormat="0" applyAlignment="0" applyProtection="0"/>
    <xf numFmtId="0" fontId="106" fillId="26" borderId="488" applyNumberFormat="0" applyAlignment="0" applyProtection="0"/>
    <xf numFmtId="0" fontId="106" fillId="26" borderId="488" applyNumberFormat="0" applyAlignment="0" applyProtection="0"/>
    <xf numFmtId="0" fontId="106" fillId="26" borderId="488" applyNumberFormat="0" applyAlignment="0" applyProtection="0"/>
    <xf numFmtId="0" fontId="62" fillId="33" borderId="528" applyNumberFormat="0" applyAlignment="0" applyProtection="0"/>
    <xf numFmtId="188" fontId="61" fillId="0" borderId="529">
      <alignment horizontal="center"/>
      <protection locked="0"/>
    </xf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6" fillId="0" borderId="522" applyNumberFormat="0" applyFont="0" applyFill="0" applyAlignment="0" applyProtection="0"/>
    <xf numFmtId="0" fontId="58" fillId="33" borderId="528" applyNumberFormat="0" applyAlignment="0" applyProtection="0"/>
    <xf numFmtId="0" fontId="58" fillId="33" borderId="528" applyNumberFormat="0" applyAlignment="0" applyProtection="0"/>
    <xf numFmtId="0" fontId="58" fillId="33" borderId="528" applyNumberFormat="0" applyAlignment="0" applyProtection="0"/>
    <xf numFmtId="0" fontId="58" fillId="33" borderId="528" applyNumberFormat="0" applyAlignment="0" applyProtection="0"/>
    <xf numFmtId="0" fontId="49" fillId="0" borderId="479" applyNumberFormat="0" applyFill="0" applyAlignment="0" applyProtection="0"/>
    <xf numFmtId="0" fontId="49" fillId="0" borderId="479" applyNumberFormat="0" applyFill="0" applyAlignment="0" applyProtection="0"/>
    <xf numFmtId="0" fontId="7" fillId="0" borderId="516" applyNumberFormat="0" applyFill="0" applyAlignment="0" applyProtection="0"/>
    <xf numFmtId="204" fontId="69" fillId="0" borderId="494">
      <protection locked="0"/>
    </xf>
    <xf numFmtId="204" fontId="69" fillId="0" borderId="494">
      <protection locked="0"/>
    </xf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496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505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9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497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510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498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00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6" fillId="0" borderId="511" applyNumberFormat="0" applyFont="0" applyFill="0" applyAlignment="0" applyProtection="0"/>
    <xf numFmtId="0" fontId="106" fillId="58" borderId="506" applyNumberFormat="0" applyAlignment="0" applyProtection="0"/>
    <xf numFmtId="0" fontId="106" fillId="26" borderId="506" applyNumberFormat="0" applyAlignment="0" applyProtection="0"/>
    <xf numFmtId="0" fontId="106" fillId="26" borderId="506" applyNumberFormat="0" applyAlignment="0" applyProtection="0"/>
    <xf numFmtId="0" fontId="106" fillId="26" borderId="506" applyNumberFormat="0" applyAlignment="0" applyProtection="0"/>
    <xf numFmtId="204" fontId="69" fillId="0" borderId="512">
      <protection locked="0"/>
    </xf>
    <xf numFmtId="204" fontId="69" fillId="0" borderId="512">
      <protection locked="0"/>
    </xf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14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20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7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15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23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6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18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6" fillId="0" borderId="524" applyNumberFormat="0" applyFont="0" applyFill="0" applyAlignment="0" applyProtection="0"/>
    <xf numFmtId="0" fontId="106" fillId="58" borderId="521" applyNumberFormat="0" applyAlignment="0" applyProtection="0"/>
    <xf numFmtId="0" fontId="106" fillId="26" borderId="521" applyNumberFormat="0" applyAlignment="0" applyProtection="0"/>
    <xf numFmtId="0" fontId="106" fillId="26" borderId="521" applyNumberFormat="0" applyAlignment="0" applyProtection="0"/>
    <xf numFmtId="0" fontId="106" fillId="26" borderId="521" applyNumberFormat="0" applyAlignment="0" applyProtection="0"/>
    <xf numFmtId="0" fontId="49" fillId="0" borderId="513" applyNumberFormat="0" applyFill="0" applyAlignment="0" applyProtection="0"/>
    <xf numFmtId="0" fontId="49" fillId="0" borderId="513" applyNumberFormat="0" applyFill="0" applyAlignment="0" applyProtection="0"/>
    <xf numFmtId="0" fontId="6" fillId="0" borderId="525" applyNumberFormat="0" applyFont="0" applyFill="0" applyAlignment="0" applyProtection="0"/>
    <xf numFmtId="0" fontId="63" fillId="0" borderId="525" applyNumberFormat="0" applyFont="0" applyFill="0" applyAlignment="0" applyProtection="0"/>
    <xf numFmtId="204" fontId="69" fillId="0" borderId="526">
      <protection locked="0"/>
    </xf>
    <xf numFmtId="204" fontId="69" fillId="0" borderId="526">
      <protection locked="0"/>
    </xf>
    <xf numFmtId="0" fontId="6" fillId="0" borderId="525" applyNumberFormat="0" applyFont="0" applyFill="0" applyAlignment="0" applyProtection="0"/>
    <xf numFmtId="0" fontId="6" fillId="0" borderId="525" applyNumberFormat="0" applyFont="0" applyFill="0" applyAlignment="0" applyProtection="0"/>
    <xf numFmtId="0" fontId="6" fillId="0" borderId="525" applyNumberFormat="0" applyFont="0" applyFill="0" applyAlignment="0" applyProtection="0"/>
    <xf numFmtId="0" fontId="63" fillId="0" borderId="525" applyNumberFormat="0" applyFont="0" applyFill="0" applyAlignment="0" applyProtection="0"/>
    <xf numFmtId="0" fontId="49" fillId="0" borderId="527" applyNumberFormat="0" applyFill="0" applyAlignment="0" applyProtection="0"/>
    <xf numFmtId="0" fontId="49" fillId="0" borderId="527" applyNumberFormat="0" applyFill="0" applyAlignment="0" applyProtection="0"/>
    <xf numFmtId="0" fontId="6" fillId="0" borderId="531" applyNumberFormat="0" applyFont="0" applyFill="0" applyAlignment="0" applyProtection="0"/>
    <xf numFmtId="0" fontId="63" fillId="0" borderId="531" applyNumberFormat="0" applyFont="0" applyFill="0" applyAlignment="0" applyProtection="0"/>
    <xf numFmtId="0" fontId="6" fillId="0" borderId="531" applyNumberFormat="0" applyFont="0" applyFill="0" applyAlignment="0" applyProtection="0"/>
    <xf numFmtId="0" fontId="6" fillId="0" borderId="531" applyNumberFormat="0" applyFont="0" applyFill="0" applyAlignment="0" applyProtection="0"/>
    <xf numFmtId="0" fontId="6" fillId="0" borderId="531" applyNumberFormat="0" applyFont="0" applyFill="0" applyAlignment="0" applyProtection="0"/>
    <xf numFmtId="0" fontId="63" fillId="0" borderId="53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6" fillId="0" borderId="563" applyNumberFormat="0" applyFont="0" applyFill="0" applyAlignment="0" applyProtection="0"/>
    <xf numFmtId="0" fontId="57" fillId="17" borderId="542" applyNumberFormat="0" applyAlignment="0" applyProtection="0"/>
    <xf numFmtId="0" fontId="57" fillId="26" borderId="542" applyNumberFormat="0" applyAlignment="0" applyProtection="0"/>
    <xf numFmtId="0" fontId="57" fillId="26" borderId="542" applyNumberFormat="0" applyAlignment="0" applyProtection="0"/>
    <xf numFmtId="0" fontId="57" fillId="26" borderId="542" applyNumberFormat="0" applyAlignment="0" applyProtection="0"/>
    <xf numFmtId="0" fontId="57" fillId="26" borderId="542" applyNumberFormat="0" applyAlignment="0" applyProtection="0"/>
    <xf numFmtId="188" fontId="61" fillId="0" borderId="543">
      <alignment horizontal="center"/>
      <protection locked="0"/>
    </xf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7" fillId="0" borderId="540" applyNumberFormat="0" applyFill="0" applyAlignment="0" applyProtection="0"/>
    <xf numFmtId="0" fontId="106" fillId="17" borderId="562" applyNumberFormat="0" applyAlignment="0" applyProtection="0"/>
    <xf numFmtId="0" fontId="6" fillId="19" borderId="561" applyNumberFormat="0" applyFont="0" applyAlignment="0" applyProtection="0"/>
    <xf numFmtId="0" fontId="6" fillId="19" borderId="561" applyNumberFormat="0" applyFont="0" applyAlignment="0" applyProtection="0"/>
    <xf numFmtId="203" fontId="65" fillId="0" borderId="533">
      <alignment horizontal="center"/>
    </xf>
    <xf numFmtId="0" fontId="70" fillId="0" borderId="543" applyNumberFormat="0" applyBorder="0" applyAlignment="0">
      <alignment horizontal="left" vertical="top"/>
    </xf>
    <xf numFmtId="0" fontId="6" fillId="19" borderId="561" applyNumberFormat="0" applyFont="0" applyAlignment="0" applyProtection="0"/>
    <xf numFmtId="0" fontId="6" fillId="19" borderId="561" applyNumberFormat="0" applyFont="0" applyAlignment="0" applyProtection="0"/>
    <xf numFmtId="0" fontId="6" fillId="19" borderId="561" applyNumberFormat="0" applyFont="0" applyAlignment="0" applyProtection="0"/>
    <xf numFmtId="10" fontId="48" fillId="56" borderId="559" applyNumberFormat="0" applyBorder="0" applyAlignment="0" applyProtection="0"/>
    <xf numFmtId="0" fontId="76" fillId="18" borderId="557" applyNumberFormat="0" applyAlignment="0" applyProtection="0"/>
    <xf numFmtId="0" fontId="76" fillId="53" borderId="542" applyNumberFormat="0" applyAlignment="0" applyProtection="0"/>
    <xf numFmtId="0" fontId="76" fillId="18" borderId="542" applyNumberFormat="0" applyAlignment="0" applyProtection="0"/>
    <xf numFmtId="0" fontId="76" fillId="18" borderId="542" applyNumberFormat="0" applyAlignment="0" applyProtection="0"/>
    <xf numFmtId="0" fontId="76" fillId="18" borderId="542" applyNumberFormat="0" applyAlignment="0" applyProtection="0"/>
    <xf numFmtId="0" fontId="8" fillId="0" borderId="544">
      <alignment horizontal="left" vertical="center"/>
    </xf>
    <xf numFmtId="0" fontId="76" fillId="18" borderId="557" applyNumberFormat="0" applyAlignment="0" applyProtection="0"/>
    <xf numFmtId="0" fontId="76" fillId="18" borderId="557" applyNumberFormat="0" applyAlignment="0" applyProtection="0"/>
    <xf numFmtId="0" fontId="76" fillId="18" borderId="557" applyNumberFormat="0" applyAlignment="0" applyProtection="0"/>
    <xf numFmtId="0" fontId="76" fillId="53" borderId="557" applyNumberFormat="0" applyAlignment="0" applyProtection="0"/>
    <xf numFmtId="0" fontId="76" fillId="18" borderId="542" applyNumberFormat="0" applyAlignment="0" applyProtection="0"/>
    <xf numFmtId="10" fontId="48" fillId="56" borderId="543" applyNumberFormat="0" applyBorder="0" applyAlignment="0" applyProtection="0"/>
    <xf numFmtId="0" fontId="6" fillId="19" borderId="545" applyNumberFormat="0" applyFont="0" applyAlignment="0" applyProtection="0"/>
    <xf numFmtId="0" fontId="6" fillId="19" borderId="545" applyNumberFormat="0" applyFont="0" applyAlignment="0" applyProtection="0"/>
    <xf numFmtId="0" fontId="6" fillId="19" borderId="545" applyNumberFormat="0" applyFont="0" applyAlignment="0" applyProtection="0"/>
    <xf numFmtId="0" fontId="6" fillId="19" borderId="545" applyNumberFormat="0" applyFont="0" applyAlignment="0" applyProtection="0"/>
    <xf numFmtId="0" fontId="6" fillId="19" borderId="545" applyNumberFormat="0" applyFont="0" applyAlignment="0" applyProtection="0"/>
    <xf numFmtId="0" fontId="106" fillId="17" borderId="546" applyNumberFormat="0" applyAlignment="0" applyProtection="0"/>
    <xf numFmtId="0" fontId="70" fillId="0" borderId="559" applyNumberFormat="0" applyBorder="0" applyAlignment="0">
      <alignment horizontal="left" vertical="top"/>
    </xf>
    <xf numFmtId="225" fontId="65" fillId="0" borderId="533">
      <alignment horizontal="center"/>
    </xf>
    <xf numFmtId="38" fontId="2" fillId="0" borderId="560">
      <alignment vertical="center"/>
    </xf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7" fillId="0" borderId="554" applyNumberForma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" fillId="0" borderId="547" applyNumberFormat="0" applyFont="0" applyFill="0" applyAlignment="0" applyProtection="0"/>
    <xf numFmtId="0" fontId="62" fillId="33" borderId="558" applyNumberFormat="0" applyAlignment="0" applyProtection="0"/>
    <xf numFmtId="188" fontId="61" fillId="0" borderId="559">
      <alignment horizontal="center"/>
      <protection locked="0"/>
    </xf>
    <xf numFmtId="0" fontId="58" fillId="33" borderId="558" applyNumberFormat="0" applyAlignment="0" applyProtection="0"/>
    <xf numFmtId="0" fontId="58" fillId="33" borderId="558" applyNumberFormat="0" applyAlignment="0" applyProtection="0"/>
    <xf numFmtId="0" fontId="58" fillId="33" borderId="558" applyNumberFormat="0" applyAlignment="0" applyProtection="0"/>
    <xf numFmtId="0" fontId="58" fillId="33" borderId="558" applyNumberFormat="0" applyAlignment="0" applyProtection="0"/>
    <xf numFmtId="0" fontId="57" fillId="26" borderId="557" applyNumberFormat="0" applyAlignment="0" applyProtection="0"/>
    <xf numFmtId="0" fontId="57" fillId="26" borderId="557" applyNumberFormat="0" applyAlignment="0" applyProtection="0"/>
    <xf numFmtId="0" fontId="57" fillId="26" borderId="557" applyNumberFormat="0" applyAlignment="0" applyProtection="0"/>
    <xf numFmtId="0" fontId="57" fillId="26" borderId="557" applyNumberFormat="0" applyAlignment="0" applyProtection="0"/>
    <xf numFmtId="0" fontId="57" fillId="17" borderId="557" applyNumberFormat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38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45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9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37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8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0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1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6" fillId="0" borderId="549" applyNumberFormat="0" applyFont="0" applyFill="0" applyAlignment="0" applyProtection="0"/>
    <xf numFmtId="0" fontId="106" fillId="58" borderId="546" applyNumberFormat="0" applyAlignment="0" applyProtection="0"/>
    <xf numFmtId="0" fontId="106" fillId="26" borderId="546" applyNumberFormat="0" applyAlignment="0" applyProtection="0"/>
    <xf numFmtId="0" fontId="106" fillId="26" borderId="546" applyNumberFormat="0" applyAlignment="0" applyProtection="0"/>
    <xf numFmtId="0" fontId="106" fillId="26" borderId="546" applyNumberFormat="0" applyAlignment="0" applyProtection="0"/>
    <xf numFmtId="204" fontId="69" fillId="0" borderId="550">
      <protection locked="0"/>
    </xf>
    <xf numFmtId="204" fontId="69" fillId="0" borderId="550">
      <protection locked="0"/>
    </xf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52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61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3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51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6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4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5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6" fillId="0" borderId="565" applyNumberFormat="0" applyFont="0" applyFill="0" applyAlignment="0" applyProtection="0"/>
    <xf numFmtId="0" fontId="106" fillId="58" borderId="562" applyNumberFormat="0" applyAlignment="0" applyProtection="0"/>
    <xf numFmtId="0" fontId="106" fillId="26" borderId="562" applyNumberFormat="0" applyAlignment="0" applyProtection="0"/>
    <xf numFmtId="0" fontId="106" fillId="26" borderId="562" applyNumberFormat="0" applyAlignment="0" applyProtection="0"/>
    <xf numFmtId="0" fontId="106" fillId="26" borderId="562" applyNumberFormat="0" applyAlignment="0" applyProtection="0"/>
    <xf numFmtId="0" fontId="49" fillId="0" borderId="556" applyNumberFormat="0" applyFill="0" applyAlignment="0" applyProtection="0"/>
    <xf numFmtId="0" fontId="49" fillId="0" borderId="556" applyNumberFormat="0" applyFill="0" applyAlignment="0" applyProtection="0"/>
    <xf numFmtId="204" fontId="69" fillId="0" borderId="566">
      <protection locked="0"/>
    </xf>
    <xf numFmtId="204" fontId="69" fillId="0" borderId="566">
      <protection locked="0"/>
    </xf>
    <xf numFmtId="41" fontId="1" fillId="0" borderId="0" applyFont="0" applyFill="0" applyBorder="0" applyAlignment="0" applyProtection="0"/>
    <xf numFmtId="0" fontId="6" fillId="0" borderId="0"/>
    <xf numFmtId="0" fontId="2" fillId="0" borderId="0"/>
    <xf numFmtId="235" fontId="6" fillId="0" borderId="0" applyFont="0" applyFill="0" applyBorder="0" applyAlignment="0" applyProtection="0"/>
  </cellStyleXfs>
  <cellXfs count="508">
    <xf numFmtId="0" fontId="0" fillId="0" borderId="0" xfId="0"/>
    <xf numFmtId="0" fontId="3" fillId="2" borderId="0" xfId="2" applyFont="1" applyFill="1"/>
    <xf numFmtId="0" fontId="4" fillId="2" borderId="0" xfId="2" applyFont="1" applyFill="1"/>
    <xf numFmtId="15" fontId="4" fillId="2" borderId="0" xfId="2" applyNumberFormat="1" applyFont="1" applyFill="1"/>
    <xf numFmtId="3" fontId="3" fillId="2" borderId="0" xfId="2" applyNumberFormat="1" applyFont="1" applyFill="1"/>
    <xf numFmtId="0" fontId="4" fillId="2" borderId="0" xfId="2" applyFont="1" applyFill="1" applyAlignment="1">
      <alignment horizontal="center"/>
    </xf>
    <xf numFmtId="0" fontId="3" fillId="2" borderId="1" xfId="2" applyFont="1" applyFill="1" applyBorder="1"/>
    <xf numFmtId="0" fontId="4" fillId="2" borderId="2" xfId="2" applyFont="1" applyFill="1" applyBorder="1" applyAlignment="1">
      <alignment horizontal="center"/>
    </xf>
    <xf numFmtId="0" fontId="3" fillId="2" borderId="2" xfId="2" applyFont="1" applyFill="1" applyBorder="1"/>
    <xf numFmtId="0" fontId="3" fillId="2" borderId="3" xfId="2" applyFont="1" applyFill="1" applyBorder="1"/>
    <xf numFmtId="0" fontId="4" fillId="2" borderId="5" xfId="2" applyFont="1" applyFill="1" applyBorder="1"/>
    <xf numFmtId="0" fontId="4" fillId="2" borderId="4" xfId="2" applyFont="1" applyFill="1" applyBorder="1" applyAlignment="1">
      <alignment horizontal="center"/>
    </xf>
    <xf numFmtId="0" fontId="4" fillId="0" borderId="0" xfId="2" applyFont="1"/>
    <xf numFmtId="0" fontId="4" fillId="2" borderId="0" xfId="2" applyFont="1" applyFill="1" applyAlignment="1">
      <alignment horizontal="left"/>
    </xf>
    <xf numFmtId="0" fontId="5" fillId="3" borderId="6" xfId="2" applyFont="1" applyFill="1" applyBorder="1" applyAlignment="1">
      <alignment horizontal="center"/>
    </xf>
    <xf numFmtId="0" fontId="4" fillId="2" borderId="4" xfId="2" applyFont="1" applyFill="1" applyBorder="1"/>
    <xf numFmtId="0" fontId="3" fillId="2" borderId="4" xfId="2" applyFont="1" applyFill="1" applyBorder="1"/>
    <xf numFmtId="0" fontId="3" fillId="2" borderId="5" xfId="2" applyFont="1" applyFill="1" applyBorder="1"/>
    <xf numFmtId="0" fontId="3" fillId="2" borderId="0" xfId="2" applyFont="1" applyFill="1" applyAlignment="1">
      <alignment horizontal="right"/>
    </xf>
    <xf numFmtId="0" fontId="3" fillId="2" borderId="7" xfId="2" applyFont="1" applyFill="1" applyBorder="1"/>
    <xf numFmtId="0" fontId="3" fillId="2" borderId="7" xfId="2" applyFont="1" applyFill="1" applyBorder="1" applyAlignment="1">
      <alignment horizontal="right"/>
    </xf>
    <xf numFmtId="0" fontId="3" fillId="2" borderId="0" xfId="2" applyFont="1" applyFill="1" applyAlignment="1">
      <alignment horizontal="left"/>
    </xf>
    <xf numFmtId="3" fontId="3" fillId="2" borderId="0" xfId="2" applyNumberFormat="1" applyFont="1" applyFill="1" applyAlignment="1">
      <alignment horizontal="right"/>
    </xf>
    <xf numFmtId="167" fontId="3" fillId="2" borderId="0" xfId="2" applyNumberFormat="1" applyFont="1" applyFill="1"/>
    <xf numFmtId="10" fontId="3" fillId="2" borderId="0" xfId="2" applyNumberFormat="1" applyFont="1" applyFill="1"/>
    <xf numFmtId="3" fontId="4" fillId="2" borderId="0" xfId="2" applyNumberFormat="1" applyFont="1" applyFill="1"/>
    <xf numFmtId="0" fontId="3" fillId="2" borderId="8" xfId="2" applyFont="1" applyFill="1" applyBorder="1"/>
    <xf numFmtId="0" fontId="4" fillId="2" borderId="9" xfId="2" applyFont="1" applyFill="1" applyBorder="1"/>
    <xf numFmtId="0" fontId="3" fillId="2" borderId="9" xfId="2" applyFont="1" applyFill="1" applyBorder="1"/>
    <xf numFmtId="3" fontId="4" fillId="2" borderId="9" xfId="2" applyNumberFormat="1" applyFont="1" applyFill="1" applyBorder="1"/>
    <xf numFmtId="0" fontId="3" fillId="2" borderId="10" xfId="2" applyFont="1" applyFill="1" applyBorder="1"/>
    <xf numFmtId="0" fontId="6" fillId="0" borderId="0" xfId="0" applyFont="1"/>
    <xf numFmtId="0" fontId="3" fillId="2" borderId="11" xfId="2" applyFont="1" applyFill="1" applyBorder="1"/>
    <xf numFmtId="0" fontId="3" fillId="2" borderId="12" xfId="2" applyFont="1" applyFill="1" applyBorder="1"/>
    <xf numFmtId="14" fontId="3" fillId="2" borderId="0" xfId="2" applyNumberFormat="1" applyFont="1" applyFill="1"/>
    <xf numFmtId="0" fontId="3" fillId="2" borderId="0" xfId="2" applyFont="1" applyFill="1" applyAlignment="1">
      <alignment horizontal="center"/>
    </xf>
    <xf numFmtId="15" fontId="7" fillId="0" borderId="14" xfId="3" applyNumberFormat="1" applyFont="1" applyBorder="1" applyAlignment="1">
      <alignment vertical="center"/>
    </xf>
    <xf numFmtId="17" fontId="8" fillId="0" borderId="15" xfId="3" applyNumberFormat="1" applyFont="1" applyBorder="1" applyAlignment="1">
      <alignment horizontal="center" vertical="center"/>
    </xf>
    <xf numFmtId="4" fontId="6" fillId="0" borderId="0" xfId="0" applyNumberFormat="1" applyFont="1"/>
    <xf numFmtId="166" fontId="6" fillId="0" borderId="0" xfId="1" applyNumberFormat="1" applyFont="1"/>
    <xf numFmtId="0" fontId="6" fillId="0" borderId="0" xfId="0" applyFont="1" applyAlignment="1">
      <alignment wrapText="1"/>
    </xf>
    <xf numFmtId="3" fontId="6" fillId="0" borderId="0" xfId="0" applyNumberFormat="1" applyFont="1" applyAlignment="1">
      <alignment horizontal="center"/>
    </xf>
    <xf numFmtId="0" fontId="11" fillId="0" borderId="0" xfId="0" applyFont="1"/>
    <xf numFmtId="165" fontId="11" fillId="7" borderId="2" xfId="7" applyFont="1" applyFill="1" applyBorder="1"/>
    <xf numFmtId="0" fontId="6" fillId="0" borderId="29" xfId="0" applyFont="1" applyBorder="1" applyAlignment="1">
      <alignment horizontal="center"/>
    </xf>
    <xf numFmtId="0" fontId="6" fillId="0" borderId="29" xfId="0" applyFont="1" applyBorder="1"/>
    <xf numFmtId="165" fontId="6" fillId="0" borderId="29" xfId="1" applyFont="1" applyBorder="1"/>
    <xf numFmtId="166" fontId="6" fillId="0" borderId="29" xfId="1" applyNumberFormat="1" applyFont="1" applyBorder="1"/>
    <xf numFmtId="166" fontId="6" fillId="0" borderId="30" xfId="1" applyNumberFormat="1" applyFont="1" applyBorder="1"/>
    <xf numFmtId="0" fontId="10" fillId="0" borderId="0" xfId="0" applyFont="1"/>
    <xf numFmtId="165" fontId="6" fillId="0" borderId="0" xfId="1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right" vertical="center"/>
    </xf>
    <xf numFmtId="165" fontId="11" fillId="3" borderId="2" xfId="7" applyFont="1" applyFill="1" applyBorder="1"/>
    <xf numFmtId="166" fontId="11" fillId="3" borderId="2" xfId="7" applyNumberFormat="1" applyFont="1" applyFill="1" applyBorder="1"/>
    <xf numFmtId="166" fontId="11" fillId="3" borderId="31" xfId="1" applyNumberFormat="1" applyFont="1" applyFill="1" applyBorder="1"/>
    <xf numFmtId="165" fontId="15" fillId="3" borderId="9" xfId="7" applyFont="1" applyFill="1" applyBorder="1"/>
    <xf numFmtId="166" fontId="15" fillId="3" borderId="9" xfId="1" applyNumberFormat="1" applyFont="1" applyFill="1" applyBorder="1"/>
    <xf numFmtId="166" fontId="15" fillId="8" borderId="9" xfId="1" applyNumberFormat="1" applyFont="1" applyFill="1" applyBorder="1"/>
    <xf numFmtId="166" fontId="15" fillId="3" borderId="10" xfId="1" applyNumberFormat="1" applyFont="1" applyFill="1" applyBorder="1"/>
    <xf numFmtId="166" fontId="6" fillId="0" borderId="0" xfId="1" applyNumberFormat="1" applyFont="1" applyAlignment="1">
      <alignment horizontal="right"/>
    </xf>
    <xf numFmtId="166" fontId="12" fillId="0" borderId="0" xfId="1" applyNumberFormat="1" applyFont="1"/>
    <xf numFmtId="169" fontId="6" fillId="0" borderId="0" xfId="1" applyNumberFormat="1" applyFont="1"/>
    <xf numFmtId="17" fontId="7" fillId="0" borderId="0" xfId="0" applyNumberFormat="1" applyFont="1" applyAlignment="1">
      <alignment horizontal="center"/>
    </xf>
    <xf numFmtId="0" fontId="9" fillId="0" borderId="0" xfId="6" applyFill="1" applyAlignment="1">
      <alignment horizontal="left" wrapText="1"/>
    </xf>
    <xf numFmtId="0" fontId="11" fillId="7" borderId="33" xfId="0" applyFont="1" applyFill="1" applyBorder="1" applyAlignment="1">
      <alignment horizontal="center"/>
    </xf>
    <xf numFmtId="165" fontId="11" fillId="7" borderId="34" xfId="7" applyFont="1" applyFill="1" applyBorder="1"/>
    <xf numFmtId="0" fontId="11" fillId="3" borderId="36" xfId="0" applyFont="1" applyFill="1" applyBorder="1" applyAlignment="1">
      <alignment horizontal="center"/>
    </xf>
    <xf numFmtId="0" fontId="15" fillId="3" borderId="35" xfId="0" applyFont="1" applyFill="1" applyBorder="1" applyAlignment="1">
      <alignment horizontal="center"/>
    </xf>
    <xf numFmtId="4" fontId="3" fillId="2" borderId="0" xfId="2" applyNumberFormat="1" applyFont="1" applyFill="1"/>
    <xf numFmtId="0" fontId="3" fillId="2" borderId="0" xfId="2" applyFont="1" applyFill="1" applyAlignment="1">
      <alignment vertical="top" wrapText="1"/>
    </xf>
    <xf numFmtId="0" fontId="10" fillId="0" borderId="2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6" fontId="10" fillId="0" borderId="28" xfId="1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3" fillId="0" borderId="21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4" fontId="13" fillId="0" borderId="22" xfId="0" applyNumberFormat="1" applyFont="1" applyBorder="1" applyAlignment="1">
      <alignment horizontal="center"/>
    </xf>
    <xf numFmtId="4" fontId="13" fillId="0" borderId="23" xfId="0" applyNumberFormat="1" applyFont="1" applyBorder="1" applyAlignment="1">
      <alignment horizontal="center"/>
    </xf>
    <xf numFmtId="0" fontId="13" fillId="0" borderId="0" xfId="0" applyFont="1"/>
    <xf numFmtId="4" fontId="6" fillId="0" borderId="13" xfId="0" applyNumberFormat="1" applyFont="1" applyBorder="1"/>
    <xf numFmtId="3" fontId="6" fillId="0" borderId="13" xfId="0" applyNumberFormat="1" applyFont="1" applyBorder="1" applyAlignment="1">
      <alignment horizontal="center"/>
    </xf>
    <xf numFmtId="166" fontId="6" fillId="0" borderId="13" xfId="1" applyNumberFormat="1" applyFont="1" applyBorder="1"/>
    <xf numFmtId="4" fontId="6" fillId="0" borderId="14" xfId="0" applyNumberFormat="1" applyFont="1" applyBorder="1"/>
    <xf numFmtId="3" fontId="6" fillId="0" borderId="14" xfId="0" applyNumberFormat="1" applyFont="1" applyBorder="1" applyAlignment="1">
      <alignment horizontal="center"/>
    </xf>
    <xf numFmtId="166" fontId="6" fillId="0" borderId="14" xfId="1" applyNumberFormat="1" applyFont="1" applyBorder="1"/>
    <xf numFmtId="166" fontId="11" fillId="7" borderId="34" xfId="1" applyNumberFormat="1" applyFont="1" applyFill="1" applyBorder="1"/>
    <xf numFmtId="4" fontId="16" fillId="0" borderId="46" xfId="0" applyNumberFormat="1" applyFont="1" applyBorder="1" applyAlignment="1">
      <alignment horizontal="center"/>
    </xf>
    <xf numFmtId="165" fontId="11" fillId="7" borderId="50" xfId="7" applyFont="1" applyFill="1" applyBorder="1"/>
    <xf numFmtId="166" fontId="11" fillId="7" borderId="51" xfId="1" applyNumberFormat="1" applyFont="1" applyFill="1" applyBorder="1"/>
    <xf numFmtId="166" fontId="6" fillId="0" borderId="38" xfId="1" applyNumberFormat="1" applyFont="1" applyBorder="1"/>
    <xf numFmtId="166" fontId="6" fillId="0" borderId="40" xfId="1" applyNumberFormat="1" applyFont="1" applyBorder="1"/>
    <xf numFmtId="166" fontId="6" fillId="0" borderId="42" xfId="1" applyNumberFormat="1" applyFont="1" applyBorder="1"/>
    <xf numFmtId="166" fontId="6" fillId="0" borderId="28" xfId="1" applyNumberFormat="1" applyFont="1" applyBorder="1" applyAlignment="1">
      <alignment horizontal="right" vertical="center"/>
    </xf>
    <xf numFmtId="0" fontId="6" fillId="0" borderId="28" xfId="0" applyFont="1" applyBorder="1" applyAlignment="1">
      <alignment horizontal="center"/>
    </xf>
    <xf numFmtId="165" fontId="6" fillId="0" borderId="28" xfId="1" applyFont="1" applyBorder="1"/>
    <xf numFmtId="166" fontId="6" fillId="0" borderId="28" xfId="1" applyNumberFormat="1" applyFont="1" applyBorder="1"/>
    <xf numFmtId="166" fontId="13" fillId="0" borderId="28" xfId="1" applyNumberFormat="1" applyFont="1" applyBorder="1"/>
    <xf numFmtId="0" fontId="11" fillId="3" borderId="28" xfId="0" applyFont="1" applyFill="1" applyBorder="1" applyAlignment="1">
      <alignment horizontal="center"/>
    </xf>
    <xf numFmtId="166" fontId="8" fillId="3" borderId="28" xfId="1" applyNumberFormat="1" applyFont="1" applyFill="1" applyBorder="1"/>
    <xf numFmtId="0" fontId="6" fillId="0" borderId="28" xfId="0" applyFont="1" applyBorder="1"/>
    <xf numFmtId="4" fontId="6" fillId="0" borderId="28" xfId="0" applyNumberFormat="1" applyFont="1" applyBorder="1" applyAlignment="1">
      <alignment horizontal="center" vertical="center"/>
    </xf>
    <xf numFmtId="4" fontId="6" fillId="0" borderId="28" xfId="0" applyNumberFormat="1" applyFont="1" applyBorder="1" applyAlignment="1">
      <alignment horizontal="right" vertical="center"/>
    </xf>
    <xf numFmtId="0" fontId="14" fillId="0" borderId="28" xfId="0" applyFont="1" applyBorder="1" applyAlignment="1">
      <alignment horizontal="center"/>
    </xf>
    <xf numFmtId="0" fontId="13" fillId="0" borderId="28" xfId="0" applyFont="1" applyBorder="1"/>
    <xf numFmtId="4" fontId="13" fillId="0" borderId="27" xfId="0" applyNumberFormat="1" applyFont="1" applyBorder="1" applyAlignment="1">
      <alignment horizontal="center" vertical="center"/>
    </xf>
    <xf numFmtId="4" fontId="13" fillId="0" borderId="28" xfId="0" applyNumberFormat="1" applyFont="1" applyBorder="1" applyAlignment="1">
      <alignment horizontal="center" vertical="center"/>
    </xf>
    <xf numFmtId="4" fontId="13" fillId="0" borderId="16" xfId="0" applyNumberFormat="1" applyFont="1" applyBorder="1" applyAlignment="1">
      <alignment horizontal="center" vertical="center"/>
    </xf>
    <xf numFmtId="4" fontId="16" fillId="0" borderId="48" xfId="0" applyNumberFormat="1" applyFont="1" applyBorder="1" applyAlignment="1">
      <alignment horizontal="center" vertical="center"/>
    </xf>
    <xf numFmtId="4" fontId="16" fillId="0" borderId="2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166" fontId="13" fillId="0" borderId="28" xfId="1" applyNumberFormat="1" applyFont="1" applyBorder="1" applyAlignment="1">
      <alignment horizontal="center" vertical="center"/>
    </xf>
    <xf numFmtId="166" fontId="13" fillId="0" borderId="28" xfId="1" applyNumberFormat="1" applyFont="1" applyBorder="1" applyAlignment="1">
      <alignment horizontal="center" vertical="center" wrapText="1"/>
    </xf>
    <xf numFmtId="166" fontId="8" fillId="3" borderId="16" xfId="1" applyNumberFormat="1" applyFont="1" applyFill="1" applyBorder="1"/>
    <xf numFmtId="166" fontId="6" fillId="0" borderId="49" xfId="1" applyNumberFormat="1" applyFont="1" applyBorder="1"/>
    <xf numFmtId="165" fontId="8" fillId="3" borderId="52" xfId="1" applyFont="1" applyFill="1" applyBorder="1"/>
    <xf numFmtId="165" fontId="8" fillId="3" borderId="53" xfId="1" applyFont="1" applyFill="1" applyBorder="1"/>
    <xf numFmtId="9" fontId="8" fillId="8" borderId="28" xfId="8" applyFont="1" applyFill="1" applyBorder="1"/>
    <xf numFmtId="9" fontId="8" fillId="3" borderId="28" xfId="8" applyFont="1" applyFill="1" applyBorder="1"/>
    <xf numFmtId="166" fontId="3" fillId="0" borderId="0" xfId="1" applyNumberFormat="1" applyFont="1"/>
    <xf numFmtId="165" fontId="4" fillId="2" borderId="0" xfId="1" applyFont="1" applyFill="1"/>
    <xf numFmtId="165" fontId="3" fillId="2" borderId="0" xfId="1" applyFont="1" applyFill="1"/>
    <xf numFmtId="9" fontId="11" fillId="7" borderId="2" xfId="8" applyFont="1" applyFill="1" applyBorder="1" applyAlignment="1">
      <alignment horizontal="left" indent="3"/>
    </xf>
    <xf numFmtId="166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4" fillId="2" borderId="0" xfId="1" applyNumberFormat="1" applyFont="1" applyFill="1"/>
    <xf numFmtId="166" fontId="11" fillId="7" borderId="2" xfId="1" applyNumberFormat="1" applyFont="1" applyFill="1" applyBorder="1" applyAlignment="1">
      <alignment horizontal="left" indent="3"/>
    </xf>
    <xf numFmtId="166" fontId="8" fillId="3" borderId="17" xfId="1" applyNumberFormat="1" applyFont="1" applyFill="1" applyBorder="1"/>
    <xf numFmtId="166" fontId="8" fillId="8" borderId="28" xfId="1" applyNumberFormat="1" applyFont="1" applyFill="1" applyBorder="1"/>
    <xf numFmtId="166" fontId="3" fillId="2" borderId="0" xfId="2" applyNumberFormat="1" applyFont="1" applyFill="1"/>
    <xf numFmtId="167" fontId="3" fillId="2" borderId="0" xfId="2" applyNumberFormat="1" applyFont="1" applyFill="1" applyAlignment="1">
      <alignment horizontal="right"/>
    </xf>
    <xf numFmtId="169" fontId="11" fillId="7" borderId="2" xfId="1" applyNumberFormat="1" applyFont="1" applyFill="1" applyBorder="1" applyAlignment="1">
      <alignment horizontal="left" indent="3"/>
    </xf>
    <xf numFmtId="165" fontId="6" fillId="0" borderId="48" xfId="1" applyFont="1" applyBorder="1"/>
    <xf numFmtId="4" fontId="20" fillId="0" borderId="0" xfId="0" applyNumberFormat="1" applyFont="1"/>
    <xf numFmtId="3" fontId="20" fillId="0" borderId="0" xfId="0" applyNumberFormat="1" applyFont="1" applyAlignment="1">
      <alignment horizontal="center"/>
    </xf>
    <xf numFmtId="166" fontId="20" fillId="0" borderId="0" xfId="1" applyNumberFormat="1" applyFont="1"/>
    <xf numFmtId="0" fontId="22" fillId="5" borderId="16" xfId="6" applyFont="1" applyBorder="1" applyAlignment="1">
      <alignment horizontal="left" wrapText="1"/>
    </xf>
    <xf numFmtId="0" fontId="0" fillId="11" borderId="28" xfId="0" applyFill="1" applyBorder="1" applyAlignment="1">
      <alignment horizontal="center"/>
    </xf>
    <xf numFmtId="170" fontId="18" fillId="11" borderId="28" xfId="1" applyNumberFormat="1" applyFont="1" applyFill="1" applyBorder="1" applyAlignment="1">
      <alignment horizontal="right"/>
    </xf>
    <xf numFmtId="166" fontId="6" fillId="11" borderId="16" xfId="1" applyNumberFormat="1" applyFont="1" applyFill="1" applyBorder="1"/>
    <xf numFmtId="165" fontId="6" fillId="11" borderId="48" xfId="1" applyFont="1" applyFill="1" applyBorder="1"/>
    <xf numFmtId="166" fontId="6" fillId="11" borderId="28" xfId="1" applyNumberFormat="1" applyFont="1" applyFill="1" applyBorder="1" applyAlignment="1">
      <alignment horizontal="right" vertical="center"/>
    </xf>
    <xf numFmtId="166" fontId="6" fillId="11" borderId="49" xfId="1" applyNumberFormat="1" applyFont="1" applyFill="1" applyBorder="1"/>
    <xf numFmtId="169" fontId="6" fillId="11" borderId="17" xfId="1" applyNumberFormat="1" applyFont="1" applyFill="1" applyBorder="1"/>
    <xf numFmtId="166" fontId="6" fillId="11" borderId="28" xfId="1" applyNumberFormat="1" applyFont="1" applyFill="1" applyBorder="1"/>
    <xf numFmtId="9" fontId="6" fillId="11" borderId="28" xfId="8" applyFont="1" applyFill="1" applyBorder="1"/>
    <xf numFmtId="166" fontId="6" fillId="11" borderId="48" xfId="1" applyNumberFormat="1" applyFont="1" applyFill="1" applyBorder="1"/>
    <xf numFmtId="166" fontId="23" fillId="0" borderId="0" xfId="1" applyNumberFormat="1" applyFont="1"/>
    <xf numFmtId="14" fontId="23" fillId="0" borderId="0" xfId="1" applyNumberFormat="1" applyFont="1"/>
    <xf numFmtId="166" fontId="23" fillId="0" borderId="40" xfId="1" applyNumberFormat="1" applyFont="1" applyBorder="1" applyAlignment="1">
      <alignment horizontal="left"/>
    </xf>
    <xf numFmtId="166" fontId="23" fillId="0" borderId="40" xfId="1" quotePrefix="1" applyNumberFormat="1" applyFont="1" applyBorder="1" applyAlignment="1">
      <alignment horizontal="left"/>
    </xf>
    <xf numFmtId="14" fontId="23" fillId="0" borderId="40" xfId="1" applyNumberFormat="1" applyFont="1" applyBorder="1" applyAlignment="1">
      <alignment horizontal="left"/>
    </xf>
    <xf numFmtId="0" fontId="19" fillId="2" borderId="0" xfId="2" applyFont="1" applyFill="1"/>
    <xf numFmtId="0" fontId="19" fillId="2" borderId="40" xfId="2" applyFont="1" applyFill="1" applyBorder="1"/>
    <xf numFmtId="0" fontId="19" fillId="2" borderId="40" xfId="2" applyFont="1" applyFill="1" applyBorder="1" applyAlignment="1">
      <alignment horizontal="left"/>
    </xf>
    <xf numFmtId="168" fontId="10" fillId="0" borderId="1" xfId="1" applyNumberFormat="1" applyFont="1" applyBorder="1" applyAlignment="1">
      <alignment horizontal="center" vertical="center"/>
    </xf>
    <xf numFmtId="168" fontId="10" fillId="0" borderId="2" xfId="1" applyNumberFormat="1" applyFont="1" applyBorder="1" applyAlignment="1">
      <alignment horizontal="center" vertical="center"/>
    </xf>
    <xf numFmtId="168" fontId="10" fillId="0" borderId="3" xfId="1" applyNumberFormat="1" applyFont="1" applyBorder="1" applyAlignment="1">
      <alignment horizontal="center" vertical="center"/>
    </xf>
    <xf numFmtId="168" fontId="10" fillId="0" borderId="5" xfId="1" applyNumberFormat="1" applyFont="1" applyBorder="1" applyAlignment="1">
      <alignment horizontal="center" vertical="center"/>
    </xf>
    <xf numFmtId="168" fontId="10" fillId="0" borderId="8" xfId="1" applyNumberFormat="1" applyFont="1" applyBorder="1" applyAlignment="1">
      <alignment horizontal="center" vertical="center"/>
    </xf>
    <xf numFmtId="168" fontId="10" fillId="0" borderId="9" xfId="1" applyNumberFormat="1" applyFont="1" applyBorder="1" applyAlignment="1">
      <alignment horizontal="center" vertical="center"/>
    </xf>
    <xf numFmtId="168" fontId="10" fillId="0" borderId="10" xfId="1" applyNumberFormat="1" applyFont="1" applyBorder="1" applyAlignment="1">
      <alignment horizontal="center" vertical="center"/>
    </xf>
    <xf numFmtId="17" fontId="4" fillId="2" borderId="0" xfId="2" quotePrefix="1" applyNumberFormat="1" applyFont="1" applyFill="1" applyAlignment="1">
      <alignment horizontal="center"/>
    </xf>
    <xf numFmtId="168" fontId="10" fillId="0" borderId="57" xfId="1" applyNumberFormat="1" applyFont="1" applyBorder="1" applyAlignment="1">
      <alignment horizontal="center" vertical="center"/>
    </xf>
    <xf numFmtId="168" fontId="10" fillId="0" borderId="14" xfId="1" applyNumberFormat="1" applyFont="1" applyBorder="1" applyAlignment="1">
      <alignment horizontal="center" vertical="center"/>
    </xf>
    <xf numFmtId="168" fontId="10" fillId="0" borderId="0" xfId="1" quotePrefix="1" applyNumberFormat="1" applyFont="1" applyAlignment="1">
      <alignment horizontal="center" vertical="center"/>
    </xf>
    <xf numFmtId="166" fontId="23" fillId="0" borderId="40" xfId="1" applyNumberFormat="1" applyFont="1" applyBorder="1"/>
    <xf numFmtId="166" fontId="19" fillId="0" borderId="0" xfId="1" applyNumberFormat="1" applyFont="1"/>
    <xf numFmtId="0" fontId="7" fillId="13" borderId="58" xfId="0" applyFont="1" applyFill="1" applyBorder="1" applyAlignment="1">
      <alignment horizontal="center" vertical="center"/>
    </xf>
    <xf numFmtId="0" fontId="8" fillId="13" borderId="59" xfId="0" applyFont="1" applyFill="1" applyBorder="1" applyAlignment="1">
      <alignment vertical="center"/>
    </xf>
    <xf numFmtId="0" fontId="7" fillId="13" borderId="60" xfId="0" applyFont="1" applyFill="1" applyBorder="1" applyAlignment="1">
      <alignment horizontal="center" vertical="center"/>
    </xf>
    <xf numFmtId="0" fontId="7" fillId="13" borderId="62" xfId="0" applyFont="1" applyFill="1" applyBorder="1" applyAlignment="1">
      <alignment vertical="center"/>
    </xf>
    <xf numFmtId="14" fontId="3" fillId="2" borderId="0" xfId="2" applyNumberFormat="1" applyFont="1" applyFill="1" applyAlignment="1">
      <alignment horizontal="left"/>
    </xf>
    <xf numFmtId="0" fontId="24" fillId="0" borderId="28" xfId="0" applyFont="1" applyBorder="1" applyAlignment="1">
      <alignment horizontal="center"/>
    </xf>
    <xf numFmtId="0" fontId="25" fillId="12" borderId="61" xfId="0" applyFont="1" applyFill="1" applyBorder="1"/>
    <xf numFmtId="0" fontId="24" fillId="11" borderId="28" xfId="0" applyFont="1" applyFill="1" applyBorder="1" applyAlignment="1">
      <alignment horizontal="center"/>
    </xf>
    <xf numFmtId="0" fontId="25" fillId="12" borderId="61" xfId="0" applyFont="1" applyFill="1" applyBorder="1" applyAlignment="1">
      <alignment horizontal="center"/>
    </xf>
    <xf numFmtId="0" fontId="25" fillId="13" borderId="61" xfId="0" applyFont="1" applyFill="1" applyBorder="1" applyAlignment="1">
      <alignment horizontal="center"/>
    </xf>
    <xf numFmtId="170" fontId="24" fillId="0" borderId="28" xfId="1" applyNumberFormat="1" applyFont="1" applyBorder="1" applyAlignment="1">
      <alignment horizontal="right"/>
    </xf>
    <xf numFmtId="9" fontId="3" fillId="2" borderId="0" xfId="2" applyNumberFormat="1" applyFont="1" applyFill="1"/>
    <xf numFmtId="0" fontId="6" fillId="10" borderId="0" xfId="5" applyFill="1" applyAlignment="1">
      <alignment vertical="center"/>
    </xf>
    <xf numFmtId="0" fontId="6" fillId="10" borderId="63" xfId="5" applyFill="1" applyBorder="1" applyAlignment="1">
      <alignment vertical="center"/>
    </xf>
    <xf numFmtId="0" fontId="7" fillId="10" borderId="64" xfId="5" applyFont="1" applyFill="1" applyBorder="1" applyAlignment="1">
      <alignment vertical="center"/>
    </xf>
    <xf numFmtId="0" fontId="26" fillId="10" borderId="64" xfId="5" applyFont="1" applyFill="1" applyBorder="1" applyAlignment="1">
      <alignment vertical="center"/>
    </xf>
    <xf numFmtId="0" fontId="6" fillId="10" borderId="64" xfId="5" applyFill="1" applyBorder="1" applyAlignment="1">
      <alignment vertical="center"/>
    </xf>
    <xf numFmtId="0" fontId="6" fillId="10" borderId="65" xfId="5" applyFill="1" applyBorder="1" applyAlignment="1">
      <alignment vertical="center"/>
    </xf>
    <xf numFmtId="0" fontId="6" fillId="10" borderId="66" xfId="5" applyFill="1" applyBorder="1" applyAlignment="1">
      <alignment vertical="center"/>
    </xf>
    <xf numFmtId="0" fontId="7" fillId="10" borderId="0" xfId="5" applyFont="1" applyFill="1" applyAlignment="1">
      <alignment vertical="center"/>
    </xf>
    <xf numFmtId="0" fontId="26" fillId="10" borderId="0" xfId="5" applyFont="1" applyFill="1" applyAlignment="1">
      <alignment vertical="center"/>
    </xf>
    <xf numFmtId="0" fontId="6" fillId="10" borderId="67" xfId="5" applyFill="1" applyBorder="1" applyAlignment="1">
      <alignment vertical="center"/>
    </xf>
    <xf numFmtId="0" fontId="27" fillId="10" borderId="0" xfId="5" applyFont="1" applyFill="1" applyAlignment="1">
      <alignment vertical="center"/>
    </xf>
    <xf numFmtId="0" fontId="23" fillId="10" borderId="0" xfId="5" applyFont="1" applyFill="1" applyAlignment="1">
      <alignment vertical="center"/>
    </xf>
    <xf numFmtId="0" fontId="19" fillId="10" borderId="0" xfId="5" applyFont="1" applyFill="1"/>
    <xf numFmtId="0" fontId="19" fillId="10" borderId="0" xfId="5" applyFont="1" applyFill="1" applyAlignment="1">
      <alignment horizontal="center"/>
    </xf>
    <xf numFmtId="0" fontId="29" fillId="10" borderId="66" xfId="5" applyFont="1" applyFill="1" applyBorder="1" applyAlignment="1">
      <alignment vertical="center"/>
    </xf>
    <xf numFmtId="0" fontId="29" fillId="10" borderId="0" xfId="5" applyFont="1" applyFill="1" applyAlignment="1">
      <alignment vertical="center"/>
    </xf>
    <xf numFmtId="0" fontId="30" fillId="10" borderId="0" xfId="5" applyFont="1" applyFill="1" applyAlignment="1">
      <alignment vertical="center"/>
    </xf>
    <xf numFmtId="0" fontId="28" fillId="10" borderId="0" xfId="5" applyFont="1" applyFill="1" applyAlignment="1">
      <alignment horizontal="center"/>
    </xf>
    <xf numFmtId="0" fontId="28" fillId="10" borderId="0" xfId="5" applyFont="1" applyFill="1" applyAlignment="1">
      <alignment horizontal="right"/>
    </xf>
    <xf numFmtId="171" fontId="28" fillId="10" borderId="0" xfId="5" applyNumberFormat="1" applyFont="1" applyFill="1" applyAlignment="1">
      <alignment horizontal="left"/>
    </xf>
    <xf numFmtId="0" fontId="31" fillId="10" borderId="0" xfId="5" applyFont="1" applyFill="1"/>
    <xf numFmtId="0" fontId="32" fillId="10" borderId="0" xfId="5" applyFont="1" applyFill="1" applyAlignment="1">
      <alignment vertical="center"/>
    </xf>
    <xf numFmtId="0" fontId="13" fillId="10" borderId="66" xfId="5" applyFont="1" applyFill="1" applyBorder="1" applyAlignment="1">
      <alignment vertical="center"/>
    </xf>
    <xf numFmtId="0" fontId="13" fillId="10" borderId="0" xfId="5" applyFont="1" applyFill="1" applyAlignment="1">
      <alignment vertical="center"/>
    </xf>
    <xf numFmtId="0" fontId="33" fillId="10" borderId="0" xfId="5" applyFont="1" applyFill="1" applyAlignment="1">
      <alignment vertical="center"/>
    </xf>
    <xf numFmtId="0" fontId="32" fillId="10" borderId="0" xfId="5" applyFont="1" applyFill="1"/>
    <xf numFmtId="0" fontId="6" fillId="10" borderId="0" xfId="5" applyFill="1"/>
    <xf numFmtId="0" fontId="6" fillId="10" borderId="66" xfId="5" applyFill="1" applyBorder="1"/>
    <xf numFmtId="0" fontId="6" fillId="10" borderId="67" xfId="5" applyFill="1" applyBorder="1"/>
    <xf numFmtId="0" fontId="31" fillId="10" borderId="0" xfId="5" applyFont="1" applyFill="1" applyAlignment="1">
      <alignment vertical="center" wrapText="1"/>
    </xf>
    <xf numFmtId="0" fontId="35" fillId="10" borderId="0" xfId="5" applyFont="1" applyFill="1" applyAlignment="1">
      <alignment vertical="center" wrapText="1"/>
    </xf>
    <xf numFmtId="0" fontId="31" fillId="10" borderId="0" xfId="5" applyFont="1" applyFill="1" applyAlignment="1">
      <alignment horizontal="center"/>
    </xf>
    <xf numFmtId="0" fontId="35" fillId="10" borderId="0" xfId="5" applyFont="1" applyFill="1" applyAlignment="1">
      <alignment horizontal="center"/>
    </xf>
    <xf numFmtId="0" fontId="6" fillId="10" borderId="68" xfId="5" applyFill="1" applyBorder="1" applyAlignment="1">
      <alignment vertical="center"/>
    </xf>
    <xf numFmtId="0" fontId="36" fillId="10" borderId="0" xfId="5" applyFont="1" applyFill="1" applyAlignment="1">
      <alignment vertical="center"/>
    </xf>
    <xf numFmtId="0" fontId="6" fillId="10" borderId="69" xfId="5" applyFill="1" applyBorder="1" applyAlignment="1">
      <alignment vertical="center"/>
    </xf>
    <xf numFmtId="0" fontId="35" fillId="10" borderId="0" xfId="5" applyFont="1" applyFill="1" applyAlignment="1">
      <alignment vertical="center"/>
    </xf>
    <xf numFmtId="0" fontId="19" fillId="10" borderId="0" xfId="5" applyFont="1" applyFill="1" applyAlignment="1">
      <alignment vertical="center"/>
    </xf>
    <xf numFmtId="0" fontId="6" fillId="10" borderId="70" xfId="5" applyFill="1" applyBorder="1" applyAlignment="1">
      <alignment vertical="center"/>
    </xf>
    <xf numFmtId="0" fontId="6" fillId="10" borderId="71" xfId="5" applyFill="1" applyBorder="1" applyAlignment="1">
      <alignment vertical="center"/>
    </xf>
    <xf numFmtId="0" fontId="6" fillId="10" borderId="73" xfId="5" applyFill="1" applyBorder="1" applyAlignment="1">
      <alignment vertical="center"/>
    </xf>
    <xf numFmtId="0" fontId="8" fillId="12" borderId="0" xfId="0" applyFont="1" applyFill="1" applyAlignment="1">
      <alignment vertical="center"/>
    </xf>
    <xf numFmtId="0" fontId="8" fillId="12" borderId="0" xfId="0" applyFont="1" applyFill="1" applyAlignment="1">
      <alignment horizontal="right" vertical="center"/>
    </xf>
    <xf numFmtId="0" fontId="7" fillId="12" borderId="0" xfId="0" applyFont="1" applyFill="1" applyAlignment="1">
      <alignment horizontal="right" vertical="center"/>
    </xf>
    <xf numFmtId="0" fontId="0" fillId="12" borderId="0" xfId="0" applyFill="1" applyAlignment="1">
      <alignment horizontal="left" vertical="center"/>
    </xf>
    <xf numFmtId="3" fontId="8" fillId="12" borderId="0" xfId="0" applyNumberFormat="1" applyFont="1" applyFill="1" applyAlignment="1">
      <alignment vertical="center"/>
    </xf>
    <xf numFmtId="3" fontId="7" fillId="12" borderId="0" xfId="0" applyNumberFormat="1" applyFont="1" applyFill="1" applyAlignment="1">
      <alignment horizontal="center" vertical="center"/>
    </xf>
    <xf numFmtId="0" fontId="10" fillId="12" borderId="0" xfId="0" applyFont="1" applyFill="1"/>
    <xf numFmtId="0" fontId="10" fillId="12" borderId="0" xfId="0" applyFont="1" applyFill="1" applyAlignment="1">
      <alignment vertical="center" wrapText="1"/>
    </xf>
    <xf numFmtId="0" fontId="7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174" fontId="8" fillId="12" borderId="0" xfId="0" applyNumberFormat="1" applyFont="1" applyFill="1" applyAlignment="1">
      <alignment horizontal="left" vertical="center" wrapText="1"/>
    </xf>
    <xf numFmtId="1" fontId="8" fillId="12" borderId="79" xfId="0" applyNumberFormat="1" applyFont="1" applyFill="1" applyBorder="1" applyAlignment="1">
      <alignment horizontal="right" vertical="center"/>
    </xf>
    <xf numFmtId="1" fontId="8" fillId="12" borderId="79" xfId="0" applyNumberFormat="1" applyFont="1" applyFill="1" applyBorder="1" applyAlignment="1">
      <alignment horizontal="center" vertical="center"/>
    </xf>
    <xf numFmtId="176" fontId="0" fillId="12" borderId="0" xfId="1" applyNumberFormat="1" applyFont="1" applyFill="1" applyAlignment="1">
      <alignment horizontal="left" vertical="center"/>
    </xf>
    <xf numFmtId="1" fontId="8" fillId="12" borderId="80" xfId="0" applyNumberFormat="1" applyFont="1" applyFill="1" applyBorder="1" applyAlignment="1">
      <alignment horizontal="right" vertical="center"/>
    </xf>
    <xf numFmtId="1" fontId="8" fillId="12" borderId="80" xfId="0" applyNumberFormat="1" applyFont="1" applyFill="1" applyBorder="1" applyAlignment="1">
      <alignment horizontal="center" vertical="center"/>
    </xf>
    <xf numFmtId="14" fontId="17" fillId="12" borderId="0" xfId="0" applyNumberFormat="1" applyFont="1" applyFill="1" applyAlignment="1">
      <alignment vertical="center"/>
    </xf>
    <xf numFmtId="3" fontId="8" fillId="12" borderId="88" xfId="0" applyNumberFormat="1" applyFont="1" applyFill="1" applyBorder="1" applyAlignment="1">
      <alignment horizontal="center" vertical="center"/>
    </xf>
    <xf numFmtId="3" fontId="13" fillId="0" borderId="89" xfId="0" applyNumberFormat="1" applyFont="1" applyBorder="1" applyAlignment="1">
      <alignment horizontal="center" vertical="center"/>
    </xf>
    <xf numFmtId="3" fontId="13" fillId="0" borderId="90" xfId="0" applyNumberFormat="1" applyFont="1" applyBorder="1" applyAlignment="1">
      <alignment horizontal="center" vertical="center"/>
    </xf>
    <xf numFmtId="3" fontId="13" fillId="0" borderId="33" xfId="0" applyNumberFormat="1" applyFont="1" applyBorder="1" applyAlignment="1">
      <alignment horizontal="center" vertical="center"/>
    </xf>
    <xf numFmtId="3" fontId="13" fillId="0" borderId="91" xfId="0" applyNumberFormat="1" applyFont="1" applyBorder="1" applyAlignment="1">
      <alignment horizontal="center" vertical="center"/>
    </xf>
    <xf numFmtId="3" fontId="13" fillId="0" borderId="77" xfId="0" applyNumberFormat="1" applyFont="1" applyBorder="1" applyAlignment="1">
      <alignment horizontal="center" vertical="center"/>
    </xf>
    <xf numFmtId="3" fontId="13" fillId="12" borderId="77" xfId="0" applyNumberFormat="1" applyFont="1" applyFill="1" applyBorder="1" applyAlignment="1">
      <alignment horizontal="center" vertical="center" wrapText="1"/>
    </xf>
    <xf numFmtId="3" fontId="13" fillId="12" borderId="77" xfId="1" applyNumberFormat="1" applyFont="1" applyFill="1" applyBorder="1" applyAlignment="1">
      <alignment horizontal="center" vertical="center"/>
    </xf>
    <xf numFmtId="3" fontId="13" fillId="12" borderId="78" xfId="0" applyNumberFormat="1" applyFont="1" applyFill="1" applyBorder="1" applyAlignment="1">
      <alignment horizontal="center" vertical="center"/>
    </xf>
    <xf numFmtId="3" fontId="8" fillId="12" borderId="93" xfId="0" applyNumberFormat="1" applyFont="1" applyFill="1" applyBorder="1" applyAlignment="1">
      <alignment horizontal="center" vertical="center"/>
    </xf>
    <xf numFmtId="3" fontId="38" fillId="0" borderId="8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76" xfId="0" applyNumberFormat="1" applyBorder="1" applyAlignment="1">
      <alignment horizontal="center" vertical="center"/>
    </xf>
    <xf numFmtId="3" fontId="13" fillId="12" borderId="8" xfId="0" applyNumberFormat="1" applyFont="1" applyFill="1" applyBorder="1" applyAlignment="1">
      <alignment horizontal="center" vertical="center"/>
    </xf>
    <xf numFmtId="3" fontId="13" fillId="12" borderId="76" xfId="0" applyNumberFormat="1" applyFont="1" applyFill="1" applyBorder="1" applyAlignment="1">
      <alignment vertical="center"/>
    </xf>
    <xf numFmtId="3" fontId="11" fillId="12" borderId="0" xfId="0" applyNumberFormat="1" applyFont="1" applyFill="1" applyAlignment="1">
      <alignment horizontal="center" vertical="center"/>
    </xf>
    <xf numFmtId="4" fontId="24" fillId="0" borderId="28" xfId="0" applyNumberFormat="1" applyFont="1" applyBorder="1" applyAlignment="1">
      <alignment horizontal="center"/>
    </xf>
    <xf numFmtId="165" fontId="40" fillId="0" borderId="48" xfId="1" applyFont="1" applyBorder="1"/>
    <xf numFmtId="179" fontId="40" fillId="0" borderId="49" xfId="1" applyNumberFormat="1" applyFont="1" applyBorder="1"/>
    <xf numFmtId="4" fontId="21" fillId="11" borderId="19" xfId="0" applyNumberFormat="1" applyFont="1" applyFill="1" applyBorder="1"/>
    <xf numFmtId="4" fontId="21" fillId="11" borderId="20" xfId="0" applyNumberFormat="1" applyFont="1" applyFill="1" applyBorder="1"/>
    <xf numFmtId="179" fontId="40" fillId="0" borderId="28" xfId="1" applyNumberFormat="1" applyFont="1" applyBorder="1"/>
    <xf numFmtId="0" fontId="10" fillId="0" borderId="28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/>
    </xf>
    <xf numFmtId="177" fontId="40" fillId="0" borderId="28" xfId="0" applyNumberFormat="1" applyFont="1" applyBorder="1" applyAlignment="1">
      <alignment horizontal="center"/>
    </xf>
    <xf numFmtId="170" fontId="24" fillId="16" borderId="28" xfId="1" applyNumberFormat="1" applyFont="1" applyFill="1" applyBorder="1" applyAlignment="1">
      <alignment horizontal="right"/>
    </xf>
    <xf numFmtId="9" fontId="11" fillId="9" borderId="2" xfId="8" applyFont="1" applyFill="1" applyBorder="1" applyAlignment="1">
      <alignment horizontal="left" indent="3"/>
    </xf>
    <xf numFmtId="166" fontId="6" fillId="9" borderId="28" xfId="1" applyNumberFormat="1" applyFont="1" applyFill="1" applyBorder="1"/>
    <xf numFmtId="9" fontId="40" fillId="0" borderId="28" xfId="8" applyFont="1" applyBorder="1"/>
    <xf numFmtId="180" fontId="42" fillId="3" borderId="10" xfId="1" applyNumberFormat="1" applyFont="1" applyFill="1" applyBorder="1"/>
    <xf numFmtId="166" fontId="20" fillId="14" borderId="28" xfId="1" applyNumberFormat="1" applyFont="1" applyFill="1" applyBorder="1"/>
    <xf numFmtId="166" fontId="29" fillId="16" borderId="28" xfId="1" applyNumberFormat="1" applyFont="1" applyFill="1" applyBorder="1" applyAlignment="1">
      <alignment horizontal="center" vertical="center"/>
    </xf>
    <xf numFmtId="166" fontId="8" fillId="3" borderId="54" xfId="1" applyNumberFormat="1" applyFont="1" applyFill="1" applyBorder="1"/>
    <xf numFmtId="3" fontId="21" fillId="0" borderId="19" xfId="0" applyNumberFormat="1" applyFont="1" applyBorder="1" applyAlignment="1">
      <alignment horizontal="left"/>
    </xf>
    <xf numFmtId="0" fontId="3" fillId="0" borderId="0" xfId="2" applyFont="1"/>
    <xf numFmtId="166" fontId="13" fillId="0" borderId="17" xfId="1" applyNumberFormat="1" applyFont="1" applyBorder="1" applyAlignment="1">
      <alignment horizontal="center" vertical="center"/>
    </xf>
    <xf numFmtId="175" fontId="8" fillId="12" borderId="0" xfId="0" applyNumberFormat="1" applyFont="1" applyFill="1" applyAlignment="1">
      <alignment vertical="center"/>
    </xf>
    <xf numFmtId="3" fontId="0" fillId="14" borderId="94" xfId="0" applyNumberFormat="1" applyFill="1" applyBorder="1"/>
    <xf numFmtId="3" fontId="8" fillId="12" borderId="96" xfId="0" applyNumberFormat="1" applyFont="1" applyFill="1" applyBorder="1" applyAlignment="1">
      <alignment horizontal="center" vertical="center"/>
    </xf>
    <xf numFmtId="3" fontId="13" fillId="0" borderId="97" xfId="0" applyNumberFormat="1" applyFont="1" applyBorder="1" applyAlignment="1">
      <alignment horizontal="center" vertical="center"/>
    </xf>
    <xf numFmtId="3" fontId="0" fillId="14" borderId="74" xfId="0" applyNumberFormat="1" applyFill="1" applyBorder="1"/>
    <xf numFmtId="3" fontId="8" fillId="12" borderId="61" xfId="0" applyNumberFormat="1" applyFont="1" applyFill="1" applyBorder="1" applyAlignment="1">
      <alignment horizontal="center" vertical="center"/>
    </xf>
    <xf numFmtId="3" fontId="13" fillId="12" borderId="98" xfId="0" applyNumberFormat="1" applyFont="1" applyFill="1" applyBorder="1" applyAlignment="1">
      <alignment horizontal="center" vertical="center"/>
    </xf>
    <xf numFmtId="3" fontId="13" fillId="0" borderId="98" xfId="0" applyNumberFormat="1" applyFont="1" applyBorder="1" applyAlignment="1">
      <alignment horizontal="center" vertical="center"/>
    </xf>
    <xf numFmtId="3" fontId="13" fillId="0" borderId="99" xfId="0" applyNumberFormat="1" applyFont="1" applyBorder="1" applyAlignment="1">
      <alignment horizontal="center" vertical="center"/>
    </xf>
    <xf numFmtId="3" fontId="0" fillId="14" borderId="0" xfId="0" applyNumberFormat="1" applyFill="1"/>
    <xf numFmtId="3" fontId="8" fillId="12" borderId="100" xfId="0" applyNumberFormat="1" applyFont="1" applyFill="1" applyBorder="1" applyAlignment="1">
      <alignment horizontal="center" vertical="center" wrapText="1"/>
    </xf>
    <xf numFmtId="177" fontId="13" fillId="0" borderId="98" xfId="1" applyNumberFormat="1" applyFont="1" applyBorder="1" applyAlignment="1">
      <alignment horizontal="center" vertical="center" wrapText="1"/>
    </xf>
    <xf numFmtId="3" fontId="13" fillId="12" borderId="98" xfId="0" applyNumberFormat="1" applyFont="1" applyFill="1" applyBorder="1" applyAlignment="1">
      <alignment vertical="center" wrapText="1"/>
    </xf>
    <xf numFmtId="3" fontId="13" fillId="12" borderId="99" xfId="0" applyNumberFormat="1" applyFont="1" applyFill="1" applyBorder="1" applyAlignment="1">
      <alignment vertical="center" wrapText="1"/>
    </xf>
    <xf numFmtId="3" fontId="0" fillId="14" borderId="28" xfId="0" applyNumberFormat="1" applyFill="1" applyBorder="1"/>
    <xf numFmtId="3" fontId="13" fillId="12" borderId="98" xfId="1" applyNumberFormat="1" applyFont="1" applyFill="1" applyBorder="1" applyAlignment="1">
      <alignment horizontal="center" vertical="center"/>
    </xf>
    <xf numFmtId="3" fontId="13" fillId="12" borderId="99" xfId="1" applyNumberFormat="1" applyFont="1" applyFill="1" applyBorder="1" applyAlignment="1">
      <alignment horizontal="center" vertical="center"/>
    </xf>
    <xf numFmtId="3" fontId="13" fillId="12" borderId="101" xfId="0" applyNumberFormat="1" applyFont="1" applyFill="1" applyBorder="1" applyAlignment="1">
      <alignment horizontal="center" vertical="center"/>
    </xf>
    <xf numFmtId="3" fontId="13" fillId="12" borderId="102" xfId="0" applyNumberFormat="1" applyFont="1" applyFill="1" applyBorder="1" applyAlignment="1">
      <alignment horizontal="center" vertical="center"/>
    </xf>
    <xf numFmtId="0" fontId="43" fillId="15" borderId="0" xfId="0" applyFont="1" applyFill="1"/>
    <xf numFmtId="3" fontId="38" fillId="0" borderId="6" xfId="0" applyNumberFormat="1" applyFont="1" applyBorder="1" applyAlignment="1">
      <alignment horizontal="center" vertical="center"/>
    </xf>
    <xf numFmtId="0" fontId="3" fillId="10" borderId="0" xfId="2" applyFont="1" applyFill="1"/>
    <xf numFmtId="0" fontId="3" fillId="10" borderId="0" xfId="2" applyFont="1" applyFill="1" applyAlignment="1">
      <alignment horizontal="center"/>
    </xf>
    <xf numFmtId="166" fontId="11" fillId="0" borderId="0" xfId="0" applyNumberFormat="1" applyFont="1"/>
    <xf numFmtId="179" fontId="6" fillId="0" borderId="0" xfId="0" applyNumberFormat="1" applyFont="1"/>
    <xf numFmtId="166" fontId="6" fillId="0" borderId="0" xfId="0" applyNumberFormat="1" applyFont="1"/>
    <xf numFmtId="0" fontId="44" fillId="0" borderId="0" xfId="0" applyFont="1"/>
    <xf numFmtId="0" fontId="43" fillId="0" borderId="0" xfId="0" applyFont="1"/>
    <xf numFmtId="16" fontId="3" fillId="2" borderId="0" xfId="2" applyNumberFormat="1" applyFont="1" applyFill="1"/>
    <xf numFmtId="166" fontId="7" fillId="0" borderId="0" xfId="0" applyNumberFormat="1" applyFont="1"/>
    <xf numFmtId="177" fontId="6" fillId="0" borderId="0" xfId="0" applyNumberFormat="1" applyFont="1"/>
    <xf numFmtId="3" fontId="24" fillId="0" borderId="2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4" fontId="21" fillId="11" borderId="19" xfId="0" applyNumberFormat="1" applyFont="1" applyFill="1" applyBorder="1" applyAlignment="1">
      <alignment horizontal="right"/>
    </xf>
    <xf numFmtId="166" fontId="13" fillId="0" borderId="23" xfId="1" applyNumberFormat="1" applyFont="1" applyBorder="1" applyAlignment="1">
      <alignment horizontal="center"/>
    </xf>
    <xf numFmtId="165" fontId="13" fillId="0" borderId="0" xfId="1" applyFont="1"/>
    <xf numFmtId="172" fontId="34" fillId="10" borderId="0" xfId="5" applyNumberFormat="1" applyFont="1" applyFill="1" applyAlignment="1">
      <alignment wrapText="1"/>
    </xf>
    <xf numFmtId="2" fontId="24" fillId="0" borderId="28" xfId="0" applyNumberFormat="1" applyFont="1" applyBorder="1" applyAlignment="1">
      <alignment horizontal="center"/>
    </xf>
    <xf numFmtId="0" fontId="25" fillId="12" borderId="463" xfId="0" applyFont="1" applyFill="1" applyBorder="1"/>
    <xf numFmtId="0" fontId="24" fillId="0" borderId="462" xfId="0" applyFont="1" applyBorder="1" applyAlignment="1">
      <alignment horizontal="center"/>
    </xf>
    <xf numFmtId="170" fontId="24" fillId="0" borderId="462" xfId="1" applyNumberFormat="1" applyFont="1" applyBorder="1" applyAlignment="1">
      <alignment horizontal="right"/>
    </xf>
    <xf numFmtId="170" fontId="24" fillId="16" borderId="462" xfId="1" applyNumberFormat="1" applyFont="1" applyFill="1" applyBorder="1" applyAlignment="1">
      <alignment horizontal="right"/>
    </xf>
    <xf numFmtId="3" fontId="13" fillId="12" borderId="534" xfId="1" applyNumberFormat="1" applyFont="1" applyFill="1" applyBorder="1" applyAlignment="1">
      <alignment horizontal="center" vertical="center"/>
    </xf>
    <xf numFmtId="3" fontId="13" fillId="12" borderId="535" xfId="1" applyNumberFormat="1" applyFont="1" applyFill="1" applyBorder="1" applyAlignment="1">
      <alignment horizontal="center" vertical="center"/>
    </xf>
    <xf numFmtId="3" fontId="13" fillId="12" borderId="536" xfId="0" applyNumberFormat="1" applyFont="1" applyFill="1" applyBorder="1" applyAlignment="1">
      <alignment horizontal="center" vertical="center"/>
    </xf>
    <xf numFmtId="0" fontId="40" fillId="0" borderId="28" xfId="8" applyNumberFormat="1" applyFont="1" applyBorder="1"/>
    <xf numFmtId="9" fontId="24" fillId="0" borderId="28" xfId="0" applyNumberFormat="1" applyFont="1" applyBorder="1" applyAlignment="1">
      <alignment horizontal="center"/>
    </xf>
    <xf numFmtId="0" fontId="13" fillId="10" borderId="0" xfId="13505" applyFont="1" applyFill="1"/>
    <xf numFmtId="0" fontId="13" fillId="10" borderId="0" xfId="0" applyFont="1" applyFill="1"/>
    <xf numFmtId="0" fontId="8" fillId="10" borderId="0" xfId="13506" applyFont="1" applyFill="1" applyAlignment="1">
      <alignment vertical="center"/>
    </xf>
    <xf numFmtId="0" fontId="8" fillId="10" borderId="0" xfId="13505" quotePrefix="1" applyFont="1" applyFill="1" applyAlignment="1">
      <alignment horizontal="left"/>
    </xf>
    <xf numFmtId="0" fontId="8" fillId="10" borderId="571" xfId="13505" applyFont="1" applyFill="1" applyBorder="1" applyAlignment="1">
      <alignment horizontal="center" vertical="center"/>
    </xf>
    <xf numFmtId="3" fontId="8" fillId="10" borderId="10" xfId="13505" quotePrefix="1" applyNumberFormat="1" applyFont="1" applyFill="1" applyBorder="1" applyAlignment="1">
      <alignment horizontal="center"/>
    </xf>
    <xf numFmtId="0" fontId="8" fillId="10" borderId="572" xfId="13505" applyFont="1" applyFill="1" applyBorder="1" applyAlignment="1">
      <alignment horizontal="center"/>
    </xf>
    <xf numFmtId="0" fontId="8" fillId="10" borderId="573" xfId="13505" applyFont="1" applyFill="1" applyBorder="1" applyAlignment="1">
      <alignment horizontal="left"/>
    </xf>
    <xf numFmtId="0" fontId="8" fillId="10" borderId="574" xfId="13505" applyFont="1" applyFill="1" applyBorder="1" applyAlignment="1">
      <alignment horizontal="center"/>
    </xf>
    <xf numFmtId="3" fontId="8" fillId="59" borderId="574" xfId="13505" applyNumberFormat="1" applyFont="1" applyFill="1" applyBorder="1" applyAlignment="1">
      <alignment horizontal="center"/>
    </xf>
    <xf numFmtId="3" fontId="8" fillId="10" borderId="574" xfId="13505" applyNumberFormat="1" applyFont="1" applyFill="1" applyBorder="1" applyAlignment="1">
      <alignment horizontal="center"/>
    </xf>
    <xf numFmtId="3" fontId="8" fillId="10" borderId="575" xfId="13505" applyNumberFormat="1" applyFont="1" applyFill="1" applyBorder="1" applyAlignment="1">
      <alignment horizontal="center"/>
    </xf>
    <xf numFmtId="0" fontId="8" fillId="60" borderId="574" xfId="13505" applyFont="1" applyFill="1" applyBorder="1" applyAlignment="1">
      <alignment horizontal="center"/>
    </xf>
    <xf numFmtId="0" fontId="13" fillId="10" borderId="576" xfId="13505" applyFont="1" applyFill="1" applyBorder="1" applyAlignment="1">
      <alignment horizontal="center"/>
    </xf>
    <xf numFmtId="0" fontId="13" fillId="10" borderId="577" xfId="0" applyFont="1" applyFill="1" applyBorder="1"/>
    <xf numFmtId="0" fontId="13" fillId="10" borderId="578" xfId="13505" applyFont="1" applyFill="1" applyBorder="1" applyAlignment="1">
      <alignment horizontal="center"/>
    </xf>
    <xf numFmtId="3" fontId="13" fillId="59" borderId="578" xfId="13505" applyNumberFormat="1" applyFont="1" applyFill="1" applyBorder="1" applyAlignment="1">
      <alignment horizontal="center"/>
    </xf>
    <xf numFmtId="1" fontId="13" fillId="10" borderId="578" xfId="13505" applyNumberFormat="1" applyFont="1" applyFill="1" applyBorder="1" applyAlignment="1">
      <alignment horizontal="center"/>
    </xf>
    <xf numFmtId="3" fontId="13" fillId="10" borderId="579" xfId="13507" applyNumberFormat="1" applyFont="1" applyFill="1" applyBorder="1" applyAlignment="1">
      <alignment horizontal="right"/>
    </xf>
    <xf numFmtId="2" fontId="13" fillId="60" borderId="578" xfId="13505" applyNumberFormat="1" applyFont="1" applyFill="1" applyBorder="1" applyAlignment="1">
      <alignment horizontal="center"/>
    </xf>
    <xf numFmtId="0" fontId="13" fillId="10" borderId="580" xfId="0" applyFont="1" applyFill="1" applyBorder="1"/>
    <xf numFmtId="0" fontId="13" fillId="10" borderId="581" xfId="13505" applyFont="1" applyFill="1" applyBorder="1" applyAlignment="1">
      <alignment horizontal="center"/>
    </xf>
    <xf numFmtId="0" fontId="8" fillId="10" borderId="582" xfId="13505" applyFont="1" applyFill="1" applyBorder="1" applyAlignment="1">
      <alignment horizontal="left"/>
    </xf>
    <xf numFmtId="0" fontId="8" fillId="10" borderId="583" xfId="13505" applyFont="1" applyFill="1" applyBorder="1" applyAlignment="1">
      <alignment horizontal="center"/>
    </xf>
    <xf numFmtId="0" fontId="13" fillId="10" borderId="584" xfId="0" applyFont="1" applyFill="1" applyBorder="1"/>
    <xf numFmtId="0" fontId="13" fillId="10" borderId="585" xfId="0" applyFont="1" applyFill="1" applyBorder="1"/>
    <xf numFmtId="0" fontId="13" fillId="10" borderId="586" xfId="0" applyFont="1" applyFill="1" applyBorder="1"/>
    <xf numFmtId="0" fontId="8" fillId="10" borderId="587" xfId="13505" applyFont="1" applyFill="1" applyBorder="1" applyAlignment="1">
      <alignment horizontal="left"/>
    </xf>
    <xf numFmtId="2" fontId="13" fillId="10" borderId="0" xfId="0" applyNumberFormat="1" applyFont="1" applyFill="1"/>
    <xf numFmtId="236" fontId="13" fillId="10" borderId="0" xfId="0" applyNumberFormat="1" applyFont="1" applyFill="1"/>
    <xf numFmtId="2" fontId="13" fillId="10" borderId="578" xfId="13505" applyNumberFormat="1" applyFont="1" applyFill="1" applyBorder="1" applyAlignment="1">
      <alignment horizontal="center"/>
    </xf>
    <xf numFmtId="2" fontId="13" fillId="0" borderId="578" xfId="13505" applyNumberFormat="1" applyFont="1" applyBorder="1" applyAlignment="1">
      <alignment horizontal="center"/>
    </xf>
    <xf numFmtId="3" fontId="13" fillId="10" borderId="0" xfId="0" applyNumberFormat="1" applyFont="1" applyFill="1"/>
    <xf numFmtId="0" fontId="13" fillId="10" borderId="587" xfId="13505" applyFont="1" applyFill="1" applyBorder="1" applyAlignment="1">
      <alignment horizontal="left"/>
    </xf>
    <xf numFmtId="4" fontId="13" fillId="10" borderId="0" xfId="0" applyNumberFormat="1" applyFont="1" applyFill="1"/>
    <xf numFmtId="0" fontId="13" fillId="10" borderId="588" xfId="13505" applyFont="1" applyFill="1" applyBorder="1" applyAlignment="1">
      <alignment horizontal="center"/>
    </xf>
    <xf numFmtId="0" fontId="13" fillId="10" borderId="589" xfId="13505" applyFont="1" applyFill="1" applyBorder="1" applyAlignment="1">
      <alignment horizontal="left"/>
    </xf>
    <xf numFmtId="0" fontId="13" fillId="10" borderId="590" xfId="13505" applyFont="1" applyFill="1" applyBorder="1" applyAlignment="1">
      <alignment horizontal="center"/>
    </xf>
    <xf numFmtId="3" fontId="13" fillId="59" borderId="590" xfId="13505" applyNumberFormat="1" applyFont="1" applyFill="1" applyBorder="1" applyAlignment="1">
      <alignment horizontal="center"/>
    </xf>
    <xf numFmtId="1" fontId="13" fillId="10" borderId="590" xfId="13507" applyNumberFormat="1" applyFont="1" applyFill="1" applyBorder="1" applyAlignment="1">
      <alignment horizontal="center"/>
    </xf>
    <xf numFmtId="3" fontId="13" fillId="10" borderId="591" xfId="13507" applyNumberFormat="1" applyFont="1" applyFill="1" applyBorder="1"/>
    <xf numFmtId="3" fontId="13" fillId="60" borderId="590" xfId="13505" applyNumberFormat="1" applyFont="1" applyFill="1" applyBorder="1" applyAlignment="1">
      <alignment horizontal="center"/>
    </xf>
    <xf numFmtId="0" fontId="13" fillId="9" borderId="18" xfId="13505" applyFont="1" applyFill="1" applyBorder="1"/>
    <xf numFmtId="0" fontId="8" fillId="9" borderId="19" xfId="13505" applyFont="1" applyFill="1" applyBorder="1" applyAlignment="1">
      <alignment horizontal="center" vertical="center"/>
    </xf>
    <xf numFmtId="0" fontId="13" fillId="9" borderId="19" xfId="13505" applyFont="1" applyFill="1" applyBorder="1"/>
    <xf numFmtId="4" fontId="8" fillId="9" borderId="592" xfId="13505" applyNumberFormat="1" applyFont="1" applyFill="1" applyBorder="1"/>
    <xf numFmtId="3" fontId="8" fillId="9" borderId="19" xfId="13505" applyNumberFormat="1" applyFont="1" applyFill="1" applyBorder="1" applyAlignment="1">
      <alignment horizontal="center" vertical="center"/>
    </xf>
    <xf numFmtId="3" fontId="8" fillId="9" borderId="303" xfId="13505" applyNumberFormat="1" applyFont="1" applyFill="1" applyBorder="1" applyAlignment="1">
      <alignment horizontal="center" vertical="center"/>
    </xf>
    <xf numFmtId="3" fontId="8" fillId="9" borderId="19" xfId="13505" applyNumberFormat="1" applyFont="1" applyFill="1" applyBorder="1" applyAlignment="1">
      <alignment horizontal="center"/>
    </xf>
    <xf numFmtId="173" fontId="13" fillId="10" borderId="0" xfId="0" applyNumberFormat="1" applyFont="1" applyFill="1"/>
    <xf numFmtId="177" fontId="13" fillId="10" borderId="0" xfId="0" applyNumberFormat="1" applyFont="1" applyFill="1"/>
    <xf numFmtId="41" fontId="13" fillId="10" borderId="0" xfId="13504" applyFont="1" applyFill="1"/>
    <xf numFmtId="43" fontId="13" fillId="10" borderId="0" xfId="0" applyNumberFormat="1" applyFont="1" applyFill="1"/>
    <xf numFmtId="4" fontId="13" fillId="10" borderId="0" xfId="13505" applyNumberFormat="1" applyFont="1" applyFill="1" applyAlignment="1">
      <alignment horizontal="center"/>
    </xf>
    <xf numFmtId="0" fontId="5" fillId="2" borderId="0" xfId="2" applyFont="1" applyFill="1"/>
    <xf numFmtId="166" fontId="5" fillId="2" borderId="0" xfId="2" applyNumberFormat="1" applyFont="1" applyFill="1"/>
    <xf numFmtId="0" fontId="121" fillId="2" borderId="0" xfId="2" applyFont="1" applyFill="1"/>
    <xf numFmtId="3" fontId="5" fillId="2" borderId="0" xfId="2" applyNumberFormat="1" applyFont="1" applyFill="1"/>
    <xf numFmtId="0" fontId="121" fillId="2" borderId="5" xfId="2" applyFont="1" applyFill="1" applyBorder="1"/>
    <xf numFmtId="0" fontId="36" fillId="10" borderId="0" xfId="5" applyFont="1" applyFill="1" applyAlignment="1">
      <alignment horizontal="center" vertical="center"/>
    </xf>
    <xf numFmtId="0" fontId="28" fillId="10" borderId="0" xfId="5" applyFont="1" applyFill="1" applyAlignment="1">
      <alignment horizontal="center" vertical="center" wrapText="1"/>
    </xf>
    <xf numFmtId="0" fontId="28" fillId="10" borderId="0" xfId="5" applyFont="1" applyFill="1" applyAlignment="1">
      <alignment horizontal="center"/>
    </xf>
    <xf numFmtId="0" fontId="34" fillId="10" borderId="0" xfId="5" applyFont="1" applyFill="1" applyAlignment="1">
      <alignment horizontal="center"/>
    </xf>
    <xf numFmtId="0" fontId="31" fillId="10" borderId="0" xfId="5" applyFont="1" applyFill="1" applyAlignment="1">
      <alignment horizontal="center" vertical="center"/>
    </xf>
    <xf numFmtId="0" fontId="34" fillId="10" borderId="0" xfId="5" applyFont="1" applyFill="1" applyAlignment="1">
      <alignment horizontal="right" wrapText="1"/>
    </xf>
    <xf numFmtId="14" fontId="31" fillId="10" borderId="0" xfId="5" applyNumberFormat="1" applyFont="1" applyFill="1" applyAlignment="1">
      <alignment horizontal="center" vertical="center"/>
    </xf>
    <xf numFmtId="0" fontId="34" fillId="10" borderId="0" xfId="5" applyFont="1" applyFill="1" applyAlignment="1">
      <alignment horizontal="center" wrapText="1"/>
    </xf>
    <xf numFmtId="0" fontId="34" fillId="10" borderId="533" xfId="5" applyFont="1" applyFill="1" applyBorder="1" applyAlignment="1">
      <alignment horizontal="center" wrapText="1"/>
    </xf>
    <xf numFmtId="0" fontId="36" fillId="10" borderId="72" xfId="5" applyFont="1" applyFill="1" applyBorder="1" applyAlignment="1">
      <alignment horizontal="center" vertical="center"/>
    </xf>
    <xf numFmtId="0" fontId="6" fillId="10" borderId="0" xfId="5" applyFill="1" applyAlignment="1">
      <alignment horizontal="center" vertical="center"/>
    </xf>
    <xf numFmtId="0" fontId="5" fillId="2" borderId="4" xfId="2" applyFont="1" applyFill="1" applyBorder="1" applyAlignment="1">
      <alignment horizont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0" xfId="2" applyFont="1" applyFill="1" applyAlignment="1">
      <alignment horizontal="left"/>
    </xf>
    <xf numFmtId="0" fontId="3" fillId="2" borderId="0" xfId="2" applyFont="1" applyFill="1" applyAlignment="1">
      <alignment horizontal="left"/>
    </xf>
    <xf numFmtId="0" fontId="5" fillId="2" borderId="5" xfId="2" applyFont="1" applyFill="1" applyBorder="1" applyAlignment="1">
      <alignment horizontal="center"/>
    </xf>
    <xf numFmtId="4" fontId="3" fillId="2" borderId="0" xfId="2" applyNumberFormat="1" applyFont="1" applyFill="1" applyAlignment="1">
      <alignment horizontal="left" vertical="top" wrapText="1"/>
    </xf>
    <xf numFmtId="0" fontId="3" fillId="2" borderId="1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2" borderId="9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3" fillId="2" borderId="13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3" fillId="10" borderId="0" xfId="2" applyFont="1" applyFill="1" applyAlignment="1">
      <alignment horizontal="center"/>
    </xf>
    <xf numFmtId="166" fontId="8" fillId="0" borderId="0" xfId="1" applyNumberFormat="1" applyFont="1" applyAlignment="1">
      <alignment horizontal="center"/>
    </xf>
    <xf numFmtId="0" fontId="3" fillId="2" borderId="0" xfId="2" applyFont="1" applyFill="1" applyAlignment="1">
      <alignment horizontal="center" vertical="center" wrapText="1"/>
    </xf>
    <xf numFmtId="166" fontId="3" fillId="2" borderId="0" xfId="2" applyNumberFormat="1" applyFont="1" applyFill="1" applyAlignment="1">
      <alignment horizontal="center"/>
    </xf>
    <xf numFmtId="166" fontId="6" fillId="0" borderId="9" xfId="1" applyNumberFormat="1" applyFont="1" applyBorder="1" applyAlignment="1">
      <alignment horizontal="center"/>
    </xf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4" fontId="3" fillId="2" borderId="567" xfId="2" applyNumberFormat="1" applyFont="1" applyFill="1" applyBorder="1" applyAlignment="1">
      <alignment horizontal="center" vertical="top" wrapText="1"/>
    </xf>
    <xf numFmtId="4" fontId="3" fillId="2" borderId="568" xfId="2" applyNumberFormat="1" applyFont="1" applyFill="1" applyBorder="1" applyAlignment="1">
      <alignment horizontal="center" vertical="top" wrapText="1"/>
    </xf>
    <xf numFmtId="166" fontId="10" fillId="0" borderId="9" xfId="1" applyNumberFormat="1" applyFont="1" applyBorder="1" applyAlignment="1">
      <alignment horizontal="left"/>
    </xf>
    <xf numFmtId="166" fontId="10" fillId="0" borderId="10" xfId="1" applyNumberFormat="1" applyFont="1" applyBorder="1" applyAlignment="1">
      <alignment horizontal="left"/>
    </xf>
    <xf numFmtId="166" fontId="17" fillId="6" borderId="18" xfId="1" applyNumberFormat="1" applyFont="1" applyFill="1" applyBorder="1" applyAlignment="1">
      <alignment horizontal="center" vertical="center"/>
    </xf>
    <xf numFmtId="166" fontId="17" fillId="6" borderId="19" xfId="1" applyNumberFormat="1" applyFont="1" applyFill="1" applyBorder="1" applyAlignment="1">
      <alignment horizontal="center" vertical="center"/>
    </xf>
    <xf numFmtId="166" fontId="17" fillId="6" borderId="43" xfId="1" applyNumberFormat="1" applyFont="1" applyFill="1" applyBorder="1" applyAlignment="1">
      <alignment horizontal="center" vertical="center"/>
    </xf>
    <xf numFmtId="166" fontId="17" fillId="6" borderId="44" xfId="1" applyNumberFormat="1" applyFont="1" applyFill="1" applyBorder="1" applyAlignment="1">
      <alignment horizontal="center" vertical="center"/>
    </xf>
    <xf numFmtId="166" fontId="17" fillId="6" borderId="45" xfId="1" applyNumberFormat="1" applyFont="1" applyFill="1" applyBorder="1" applyAlignment="1">
      <alignment horizontal="center" vertical="center"/>
    </xf>
    <xf numFmtId="166" fontId="17" fillId="6" borderId="20" xfId="1" applyNumberFormat="1" applyFont="1" applyFill="1" applyBorder="1" applyAlignment="1">
      <alignment horizontal="center" vertical="center"/>
    </xf>
    <xf numFmtId="166" fontId="17" fillId="6" borderId="1" xfId="1" applyNumberFormat="1" applyFont="1" applyFill="1" applyBorder="1" applyAlignment="1">
      <alignment horizontal="center" vertical="center"/>
    </xf>
    <xf numFmtId="166" fontId="17" fillId="6" borderId="2" xfId="1" applyNumberFormat="1" applyFont="1" applyFill="1" applyBorder="1" applyAlignment="1">
      <alignment horizontal="center" vertical="center"/>
    </xf>
    <xf numFmtId="166" fontId="17" fillId="6" borderId="3" xfId="1" applyNumberFormat="1" applyFont="1" applyFill="1" applyBorder="1" applyAlignment="1">
      <alignment horizontal="center" vertical="center"/>
    </xf>
    <xf numFmtId="4" fontId="13" fillId="0" borderId="24" xfId="0" applyNumberFormat="1" applyFont="1" applyBorder="1" applyAlignment="1">
      <alignment horizontal="center"/>
    </xf>
    <xf numFmtId="4" fontId="13" fillId="0" borderId="34" xfId="0" applyNumberFormat="1" applyFont="1" applyBorder="1" applyAlignment="1">
      <alignment horizontal="center"/>
    </xf>
    <xf numFmtId="4" fontId="16" fillId="0" borderId="32" xfId="0" applyNumberFormat="1" applyFont="1" applyBorder="1" applyAlignment="1">
      <alignment horizontal="center"/>
    </xf>
    <xf numFmtId="4" fontId="16" fillId="0" borderId="47" xfId="0" applyNumberFormat="1" applyFont="1" applyBorder="1" applyAlignment="1">
      <alignment horizontal="center"/>
    </xf>
    <xf numFmtId="166" fontId="13" fillId="0" borderId="34" xfId="1" applyNumberFormat="1" applyFont="1" applyBorder="1" applyAlignment="1">
      <alignment horizontal="center"/>
    </xf>
    <xf numFmtId="166" fontId="13" fillId="0" borderId="25" xfId="1" applyNumberFormat="1" applyFont="1" applyBorder="1" applyAlignment="1">
      <alignment horizontal="center"/>
    </xf>
    <xf numFmtId="166" fontId="13" fillId="0" borderId="23" xfId="1" applyNumberFormat="1" applyFont="1" applyBorder="1" applyAlignment="1">
      <alignment horizontal="center"/>
    </xf>
    <xf numFmtId="166" fontId="13" fillId="0" borderId="24" xfId="1" applyNumberFormat="1" applyFont="1" applyBorder="1" applyAlignment="1">
      <alignment horizontal="center"/>
    </xf>
    <xf numFmtId="17" fontId="7" fillId="0" borderId="16" xfId="0" applyNumberFormat="1" applyFont="1" applyBorder="1" applyAlignment="1">
      <alignment horizontal="center"/>
    </xf>
    <xf numFmtId="17" fontId="7" fillId="0" borderId="17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4" fontId="6" fillId="0" borderId="22" xfId="0" applyNumberFormat="1" applyFont="1" applyBorder="1" applyAlignment="1">
      <alignment horizontal="center"/>
    </xf>
    <xf numFmtId="4" fontId="6" fillId="0" borderId="23" xfId="0" applyNumberFormat="1" applyFont="1" applyBorder="1" applyAlignment="1">
      <alignment horizontal="center"/>
    </xf>
    <xf numFmtId="4" fontId="6" fillId="0" borderId="55" xfId="0" applyNumberFormat="1" applyFont="1" applyBorder="1" applyAlignment="1">
      <alignment horizontal="center"/>
    </xf>
    <xf numFmtId="166" fontId="10" fillId="0" borderId="2" xfId="1" applyNumberFormat="1" applyFont="1" applyBorder="1" applyAlignment="1">
      <alignment horizontal="left"/>
    </xf>
    <xf numFmtId="166" fontId="10" fillId="0" borderId="3" xfId="1" applyNumberFormat="1" applyFont="1" applyBorder="1" applyAlignment="1">
      <alignment horizontal="left"/>
    </xf>
    <xf numFmtId="0" fontId="11" fillId="0" borderId="4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4" fontId="6" fillId="0" borderId="27" xfId="0" applyNumberFormat="1" applyFont="1" applyBorder="1" applyAlignment="1">
      <alignment horizontal="center"/>
    </xf>
    <xf numFmtId="4" fontId="6" fillId="0" borderId="28" xfId="0" applyNumberFormat="1" applyFont="1" applyBorder="1" applyAlignment="1">
      <alignment horizontal="center"/>
    </xf>
    <xf numFmtId="4" fontId="6" fillId="0" borderId="56" xfId="0" applyNumberFormat="1" applyFont="1" applyBorder="1" applyAlignment="1">
      <alignment horizontal="center"/>
    </xf>
    <xf numFmtId="166" fontId="10" fillId="0" borderId="0" xfId="1" applyNumberFormat="1" applyFont="1" applyAlignment="1">
      <alignment horizontal="left"/>
    </xf>
    <xf numFmtId="166" fontId="10" fillId="0" borderId="5" xfId="1" applyNumberFormat="1" applyFont="1" applyBorder="1" applyAlignment="1">
      <alignment horizontal="left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4" fontId="20" fillId="0" borderId="39" xfId="0" applyNumberFormat="1" applyFont="1" applyBorder="1" applyAlignment="1">
      <alignment horizontal="center"/>
    </xf>
    <xf numFmtId="4" fontId="20" fillId="0" borderId="0" xfId="0" applyNumberFormat="1" applyFont="1" applyAlignment="1">
      <alignment horizontal="center"/>
    </xf>
    <xf numFmtId="4" fontId="20" fillId="0" borderId="40" xfId="0" applyNumberFormat="1" applyFont="1" applyBorder="1" applyAlignment="1">
      <alignment horizontal="center"/>
    </xf>
    <xf numFmtId="0" fontId="19" fillId="2" borderId="0" xfId="2" applyFont="1" applyFill="1" applyAlignment="1">
      <alignment horizontal="left"/>
    </xf>
    <xf numFmtId="4" fontId="21" fillId="11" borderId="18" xfId="0" applyNumberFormat="1" applyFont="1" applyFill="1" applyBorder="1" applyAlignment="1">
      <alignment horizontal="right"/>
    </xf>
    <xf numFmtId="4" fontId="21" fillId="11" borderId="19" xfId="0" applyNumberFormat="1" applyFont="1" applyFill="1" applyBorder="1" applyAlignment="1">
      <alignment horizontal="right"/>
    </xf>
    <xf numFmtId="3" fontId="7" fillId="12" borderId="0" xfId="0" applyNumberFormat="1" applyFont="1" applyFill="1" applyAlignment="1">
      <alignment horizontal="center" vertical="center" wrapText="1"/>
    </xf>
    <xf numFmtId="0" fontId="11" fillId="12" borderId="60" xfId="0" applyFont="1" applyFill="1" applyBorder="1" applyAlignment="1">
      <alignment horizontal="left" vertical="top" wrapText="1"/>
    </xf>
    <xf numFmtId="0" fontId="11" fillId="12" borderId="60" xfId="0" applyFont="1" applyFill="1" applyBorder="1" applyAlignment="1">
      <alignment horizontal="left" vertical="center"/>
    </xf>
    <xf numFmtId="0" fontId="11" fillId="12" borderId="92" xfId="0" applyFont="1" applyFill="1" applyBorder="1" applyAlignment="1">
      <alignment horizontal="right" vertical="center"/>
    </xf>
    <xf numFmtId="0" fontId="10" fillId="12" borderId="0" xfId="0" applyFont="1" applyFill="1" applyAlignment="1">
      <alignment horizontal="left" vertical="center"/>
    </xf>
    <xf numFmtId="3" fontId="37" fillId="12" borderId="84" xfId="0" applyNumberFormat="1" applyFont="1" applyFill="1" applyBorder="1" applyAlignment="1">
      <alignment horizontal="center" vertical="center" wrapText="1"/>
    </xf>
    <xf numFmtId="3" fontId="37" fillId="12" borderId="86" xfId="0" applyNumberFormat="1" applyFont="1" applyFill="1" applyBorder="1" applyAlignment="1">
      <alignment horizontal="center" vertical="center" wrapText="1"/>
    </xf>
    <xf numFmtId="3" fontId="37" fillId="12" borderId="1" xfId="0" applyNumberFormat="1" applyFont="1" applyFill="1" applyBorder="1" applyAlignment="1">
      <alignment horizontal="center" vertical="center" wrapText="1"/>
    </xf>
    <xf numFmtId="3" fontId="37" fillId="12" borderId="8" xfId="0" applyNumberFormat="1" applyFont="1" applyFill="1" applyBorder="1" applyAlignment="1">
      <alignment horizontal="center" vertical="center" wrapText="1"/>
    </xf>
    <xf numFmtId="3" fontId="37" fillId="12" borderId="75" xfId="0" applyNumberFormat="1" applyFont="1" applyFill="1" applyBorder="1" applyAlignment="1">
      <alignment horizontal="center" vertical="center" wrapText="1"/>
    </xf>
    <xf numFmtId="3" fontId="37" fillId="12" borderId="76" xfId="0" applyNumberFormat="1" applyFont="1" applyFill="1" applyBorder="1" applyAlignment="1">
      <alignment horizontal="center" vertical="center" wrapText="1"/>
    </xf>
    <xf numFmtId="0" fontId="11" fillId="12" borderId="87" xfId="0" applyFont="1" applyFill="1" applyBorder="1" applyAlignment="1">
      <alignment horizontal="left" vertical="center"/>
    </xf>
    <xf numFmtId="0" fontId="11" fillId="12" borderId="95" xfId="0" applyFont="1" applyFill="1" applyBorder="1" applyAlignment="1">
      <alignment horizontal="left" vertical="center"/>
    </xf>
    <xf numFmtId="175" fontId="8" fillId="12" borderId="79" xfId="1" applyNumberFormat="1" applyFont="1" applyFill="1" applyBorder="1" applyAlignment="1">
      <alignment vertical="center" wrapText="1"/>
    </xf>
    <xf numFmtId="175" fontId="8" fillId="0" borderId="144" xfId="1" applyNumberFormat="1" applyFont="1" applyBorder="1" applyAlignment="1">
      <alignment vertical="center" wrapText="1"/>
    </xf>
    <xf numFmtId="175" fontId="19" fillId="12" borderId="79" xfId="1" applyNumberFormat="1" applyFont="1" applyFill="1" applyBorder="1" applyAlignment="1">
      <alignment vertical="center" wrapText="1"/>
    </xf>
    <xf numFmtId="0" fontId="37" fillId="12" borderId="0" xfId="0" applyFont="1" applyFill="1" applyAlignment="1">
      <alignment horizontal="center" vertical="center"/>
    </xf>
    <xf numFmtId="3" fontId="37" fillId="12" borderId="0" xfId="0" applyNumberFormat="1" applyFont="1" applyFill="1" applyAlignment="1">
      <alignment horizontal="center" vertical="center"/>
    </xf>
    <xf numFmtId="3" fontId="37" fillId="12" borderId="83" xfId="0" applyNumberFormat="1" applyFont="1" applyFill="1" applyBorder="1" applyAlignment="1">
      <alignment horizontal="center" vertical="center" wrapText="1"/>
    </xf>
    <xf numFmtId="3" fontId="37" fillId="12" borderId="85" xfId="0" applyNumberFormat="1" applyFont="1" applyFill="1" applyBorder="1" applyAlignment="1">
      <alignment horizontal="center" vertical="center" wrapText="1"/>
    </xf>
    <xf numFmtId="3" fontId="8" fillId="10" borderId="33" xfId="13505" applyNumberFormat="1" applyFont="1" applyFill="1" applyBorder="1" applyAlignment="1">
      <alignment horizontal="center"/>
    </xf>
    <xf numFmtId="3" fontId="8" fillId="10" borderId="569" xfId="13505" applyNumberFormat="1" applyFont="1" applyFill="1" applyBorder="1" applyAlignment="1">
      <alignment horizontal="center"/>
    </xf>
    <xf numFmtId="0" fontId="8" fillId="10" borderId="0" xfId="13506" applyFont="1" applyFill="1" applyAlignment="1">
      <alignment horizontal="center"/>
    </xf>
    <xf numFmtId="0" fontId="120" fillId="10" borderId="0" xfId="13506" applyFont="1" applyFill="1" applyAlignment="1">
      <alignment horizontal="center"/>
    </xf>
    <xf numFmtId="3" fontId="13" fillId="59" borderId="18" xfId="13505" applyNumberFormat="1" applyFont="1" applyFill="1" applyBorder="1" applyAlignment="1">
      <alignment horizontal="center"/>
    </xf>
    <xf numFmtId="3" fontId="13" fillId="59" borderId="19" xfId="13505" applyNumberFormat="1" applyFont="1" applyFill="1" applyBorder="1" applyAlignment="1">
      <alignment horizontal="center"/>
    </xf>
    <xf numFmtId="3" fontId="13" fillId="59" borderId="20" xfId="13505" applyNumberFormat="1" applyFont="1" applyFill="1" applyBorder="1" applyAlignment="1">
      <alignment horizontal="center"/>
    </xf>
    <xf numFmtId="3" fontId="13" fillId="60" borderId="18" xfId="13505" applyNumberFormat="1" applyFont="1" applyFill="1" applyBorder="1" applyAlignment="1">
      <alignment horizontal="center"/>
    </xf>
    <xf numFmtId="3" fontId="13" fillId="60" borderId="19" xfId="13505" applyNumberFormat="1" applyFont="1" applyFill="1" applyBorder="1" applyAlignment="1">
      <alignment horizontal="center"/>
    </xf>
    <xf numFmtId="3" fontId="13" fillId="60" borderId="20" xfId="13505" applyNumberFormat="1" applyFont="1" applyFill="1" applyBorder="1" applyAlignment="1">
      <alignment horizontal="center"/>
    </xf>
    <xf numFmtId="0" fontId="8" fillId="10" borderId="75" xfId="13505" applyFont="1" applyFill="1" applyBorder="1" applyAlignment="1">
      <alignment horizontal="center" vertical="center"/>
    </xf>
    <xf numFmtId="0" fontId="8" fillId="10" borderId="76" xfId="13505" applyFont="1" applyFill="1" applyBorder="1" applyAlignment="1">
      <alignment horizontal="center" vertical="center"/>
    </xf>
    <xf numFmtId="0" fontId="8" fillId="10" borderId="478" xfId="13505" applyFont="1" applyFill="1" applyBorder="1" applyAlignment="1">
      <alignment horizontal="center" vertical="center"/>
    </xf>
    <xf numFmtId="0" fontId="8" fillId="10" borderId="570" xfId="13505" applyFont="1" applyFill="1" applyBorder="1" applyAlignment="1">
      <alignment horizontal="center" vertical="center"/>
    </xf>
    <xf numFmtId="0" fontId="8" fillId="10" borderId="532" xfId="13505" applyFont="1" applyFill="1" applyBorder="1" applyAlignment="1">
      <alignment horizontal="center" vertical="center"/>
    </xf>
    <xf numFmtId="0" fontId="8" fillId="10" borderId="571" xfId="13505" applyFont="1" applyFill="1" applyBorder="1" applyAlignment="1">
      <alignment horizontal="center" vertical="center"/>
    </xf>
    <xf numFmtId="0" fontId="8" fillId="10" borderId="36" xfId="13505" applyFont="1" applyFill="1" applyBorder="1" applyAlignment="1">
      <alignment horizontal="center" vertical="center" wrapText="1"/>
    </xf>
    <xf numFmtId="0" fontId="8" fillId="10" borderId="35" xfId="13505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/>
    </xf>
  </cellXfs>
  <cellStyles count="13508">
    <cellStyle name="0,0_x000d__x000a_NA_x000d__x000a_" xfId="32" xr:uid="{00000000-0005-0000-0000-000000000000}"/>
    <cellStyle name="0,0_x000d__x000a_NA_x000d__x000a_ 2" xfId="33" xr:uid="{00000000-0005-0000-0000-000001000000}"/>
    <cellStyle name="20% - Accent1" xfId="34" xr:uid="{00000000-0005-0000-0000-000002000000}"/>
    <cellStyle name="20% - Accent2" xfId="35" xr:uid="{00000000-0005-0000-0000-000003000000}"/>
    <cellStyle name="20% - Accent3" xfId="36" xr:uid="{00000000-0005-0000-0000-000004000000}"/>
    <cellStyle name="20% - Accent4" xfId="37" xr:uid="{00000000-0005-0000-0000-000005000000}"/>
    <cellStyle name="20% - Accent5" xfId="38" xr:uid="{00000000-0005-0000-0000-000006000000}"/>
    <cellStyle name="20% - Accent6" xfId="39" xr:uid="{00000000-0005-0000-0000-000007000000}"/>
    <cellStyle name="20% - Énfasis1 2" xfId="40" xr:uid="{00000000-0005-0000-0000-000008000000}"/>
    <cellStyle name="20% - Énfasis1 3" xfId="41" xr:uid="{00000000-0005-0000-0000-000009000000}"/>
    <cellStyle name="20% - Énfasis1 4" xfId="42" xr:uid="{00000000-0005-0000-0000-00000A000000}"/>
    <cellStyle name="20% - Énfasis1 5" xfId="43" xr:uid="{00000000-0005-0000-0000-00000B000000}"/>
    <cellStyle name="20% - Énfasis2 2" xfId="44" xr:uid="{00000000-0005-0000-0000-00000C000000}"/>
    <cellStyle name="20% - Énfasis2 3" xfId="45" xr:uid="{00000000-0005-0000-0000-00000D000000}"/>
    <cellStyle name="20% - Énfasis2 4" xfId="46" xr:uid="{00000000-0005-0000-0000-00000E000000}"/>
    <cellStyle name="20% - Énfasis2 5" xfId="47" xr:uid="{00000000-0005-0000-0000-00000F000000}"/>
    <cellStyle name="20% - Énfasis3 2" xfId="48" xr:uid="{00000000-0005-0000-0000-000010000000}"/>
    <cellStyle name="20% - Énfasis3 3" xfId="49" xr:uid="{00000000-0005-0000-0000-000011000000}"/>
    <cellStyle name="20% - Énfasis3 4" xfId="50" xr:uid="{00000000-0005-0000-0000-000012000000}"/>
    <cellStyle name="20% - Énfasis3 5" xfId="51" xr:uid="{00000000-0005-0000-0000-000013000000}"/>
    <cellStyle name="20% - Énfasis4 2" xfId="52" xr:uid="{00000000-0005-0000-0000-000014000000}"/>
    <cellStyle name="20% - Énfasis4 3" xfId="53" xr:uid="{00000000-0005-0000-0000-000015000000}"/>
    <cellStyle name="20% - Énfasis4 4" xfId="54" xr:uid="{00000000-0005-0000-0000-000016000000}"/>
    <cellStyle name="20% - Énfasis4 5" xfId="55" xr:uid="{00000000-0005-0000-0000-000017000000}"/>
    <cellStyle name="20% - Énfasis5 2" xfId="56" xr:uid="{00000000-0005-0000-0000-000018000000}"/>
    <cellStyle name="20% - Énfasis5 3" xfId="57" xr:uid="{00000000-0005-0000-0000-000019000000}"/>
    <cellStyle name="20% - Énfasis5 4" xfId="58" xr:uid="{00000000-0005-0000-0000-00001A000000}"/>
    <cellStyle name="20% - Énfasis5 5" xfId="59" xr:uid="{00000000-0005-0000-0000-00001B000000}"/>
    <cellStyle name="20% - Énfasis6 2" xfId="60" xr:uid="{00000000-0005-0000-0000-00001C000000}"/>
    <cellStyle name="20% - Énfasis6 3" xfId="61" xr:uid="{00000000-0005-0000-0000-00001D000000}"/>
    <cellStyle name="20% - Énfasis6 4" xfId="62" xr:uid="{00000000-0005-0000-0000-00001E000000}"/>
    <cellStyle name="20% - Énfasis6 5" xfId="63" xr:uid="{00000000-0005-0000-0000-00001F000000}"/>
    <cellStyle name="40% - Accent1" xfId="64" xr:uid="{00000000-0005-0000-0000-000020000000}"/>
    <cellStyle name="40% - Accent2" xfId="65" xr:uid="{00000000-0005-0000-0000-000021000000}"/>
    <cellStyle name="40% - Accent3" xfId="66" xr:uid="{00000000-0005-0000-0000-000022000000}"/>
    <cellStyle name="40% - Accent4" xfId="67" xr:uid="{00000000-0005-0000-0000-000023000000}"/>
    <cellStyle name="40% - Accent5" xfId="68" xr:uid="{00000000-0005-0000-0000-000024000000}"/>
    <cellStyle name="40% - Accent6" xfId="69" xr:uid="{00000000-0005-0000-0000-000025000000}"/>
    <cellStyle name="40% - Énfasis1 2" xfId="70" xr:uid="{00000000-0005-0000-0000-000026000000}"/>
    <cellStyle name="40% - Énfasis1 3" xfId="71" xr:uid="{00000000-0005-0000-0000-000027000000}"/>
    <cellStyle name="40% - Énfasis1 4" xfId="72" xr:uid="{00000000-0005-0000-0000-000028000000}"/>
    <cellStyle name="40% - Énfasis1 5" xfId="73" xr:uid="{00000000-0005-0000-0000-000029000000}"/>
    <cellStyle name="40% - Énfasis2 2" xfId="74" xr:uid="{00000000-0005-0000-0000-00002A000000}"/>
    <cellStyle name="40% - Énfasis2 3" xfId="75" xr:uid="{00000000-0005-0000-0000-00002B000000}"/>
    <cellStyle name="40% - Énfasis2 4" xfId="76" xr:uid="{00000000-0005-0000-0000-00002C000000}"/>
    <cellStyle name="40% - Énfasis2 5" xfId="77" xr:uid="{00000000-0005-0000-0000-00002D000000}"/>
    <cellStyle name="40% - Énfasis3 2" xfId="78" xr:uid="{00000000-0005-0000-0000-00002E000000}"/>
    <cellStyle name="40% - Énfasis3 3" xfId="79" xr:uid="{00000000-0005-0000-0000-00002F000000}"/>
    <cellStyle name="40% - Énfasis3 4" xfId="80" xr:uid="{00000000-0005-0000-0000-000030000000}"/>
    <cellStyle name="40% - Énfasis3 5" xfId="81" xr:uid="{00000000-0005-0000-0000-000031000000}"/>
    <cellStyle name="40% - Énfasis4 2" xfId="82" xr:uid="{00000000-0005-0000-0000-000032000000}"/>
    <cellStyle name="40% - Énfasis4 3" xfId="83" xr:uid="{00000000-0005-0000-0000-000033000000}"/>
    <cellStyle name="40% - Énfasis4 4" xfId="84" xr:uid="{00000000-0005-0000-0000-000034000000}"/>
    <cellStyle name="40% - Énfasis4 5" xfId="85" xr:uid="{00000000-0005-0000-0000-000035000000}"/>
    <cellStyle name="40% - Énfasis5 2" xfId="86" xr:uid="{00000000-0005-0000-0000-000036000000}"/>
    <cellStyle name="40% - Énfasis5 3" xfId="87" xr:uid="{00000000-0005-0000-0000-000037000000}"/>
    <cellStyle name="40% - Énfasis5 4" xfId="88" xr:uid="{00000000-0005-0000-0000-000038000000}"/>
    <cellStyle name="40% - Énfasis5 5" xfId="89" xr:uid="{00000000-0005-0000-0000-000039000000}"/>
    <cellStyle name="40% - Énfasis6 2" xfId="90" xr:uid="{00000000-0005-0000-0000-00003A000000}"/>
    <cellStyle name="40% - Énfasis6 3" xfId="91" xr:uid="{00000000-0005-0000-0000-00003B000000}"/>
    <cellStyle name="40% - Énfasis6 4" xfId="92" xr:uid="{00000000-0005-0000-0000-00003C000000}"/>
    <cellStyle name="40% - Énfasis6 5" xfId="93" xr:uid="{00000000-0005-0000-0000-00003D000000}"/>
    <cellStyle name="60% - Accent1" xfId="4" xr:uid="{00000000-0005-0000-0000-00003E000000}"/>
    <cellStyle name="60% - Accent1 2" xfId="94" xr:uid="{00000000-0005-0000-0000-00003F000000}"/>
    <cellStyle name="60% - Accent2" xfId="95" xr:uid="{00000000-0005-0000-0000-000040000000}"/>
    <cellStyle name="60% - Accent3" xfId="96" xr:uid="{00000000-0005-0000-0000-000041000000}"/>
    <cellStyle name="60% - Accent4" xfId="97" xr:uid="{00000000-0005-0000-0000-000042000000}"/>
    <cellStyle name="60% - Accent5" xfId="98" xr:uid="{00000000-0005-0000-0000-000043000000}"/>
    <cellStyle name="60% - Accent6" xfId="99" xr:uid="{00000000-0005-0000-0000-000044000000}"/>
    <cellStyle name="60% - Énfasis1 2" xfId="100" xr:uid="{00000000-0005-0000-0000-000045000000}"/>
    <cellStyle name="60% - Énfasis1 3" xfId="101" xr:uid="{00000000-0005-0000-0000-000046000000}"/>
    <cellStyle name="60% - Énfasis1 4" xfId="102" xr:uid="{00000000-0005-0000-0000-000047000000}"/>
    <cellStyle name="60% - Énfasis1 5" xfId="103" xr:uid="{00000000-0005-0000-0000-000048000000}"/>
    <cellStyle name="60% - Énfasis2 2" xfId="104" xr:uid="{00000000-0005-0000-0000-000049000000}"/>
    <cellStyle name="60% - Énfasis2 3" xfId="105" xr:uid="{00000000-0005-0000-0000-00004A000000}"/>
    <cellStyle name="60% - Énfasis2 4" xfId="106" xr:uid="{00000000-0005-0000-0000-00004B000000}"/>
    <cellStyle name="60% - Énfasis2 5" xfId="107" xr:uid="{00000000-0005-0000-0000-00004C000000}"/>
    <cellStyle name="60% - Énfasis3 2" xfId="108" xr:uid="{00000000-0005-0000-0000-00004D000000}"/>
    <cellStyle name="60% - Énfasis3 3" xfId="109" xr:uid="{00000000-0005-0000-0000-00004E000000}"/>
    <cellStyle name="60% - Énfasis3 4" xfId="110" xr:uid="{00000000-0005-0000-0000-00004F000000}"/>
    <cellStyle name="60% - Énfasis3 5" xfId="111" xr:uid="{00000000-0005-0000-0000-000050000000}"/>
    <cellStyle name="60% - Énfasis4 2" xfId="112" xr:uid="{00000000-0005-0000-0000-000051000000}"/>
    <cellStyle name="60% - Énfasis4 3" xfId="113" xr:uid="{00000000-0005-0000-0000-000052000000}"/>
    <cellStyle name="60% - Énfasis4 4" xfId="114" xr:uid="{00000000-0005-0000-0000-000053000000}"/>
    <cellStyle name="60% - Énfasis4 5" xfId="115" xr:uid="{00000000-0005-0000-0000-000054000000}"/>
    <cellStyle name="60% - Énfasis5 2" xfId="116" xr:uid="{00000000-0005-0000-0000-000055000000}"/>
    <cellStyle name="60% - Énfasis5 3" xfId="117" xr:uid="{00000000-0005-0000-0000-000056000000}"/>
    <cellStyle name="60% - Énfasis5 4" xfId="118" xr:uid="{00000000-0005-0000-0000-000057000000}"/>
    <cellStyle name="60% - Énfasis5 5" xfId="119" xr:uid="{00000000-0005-0000-0000-000058000000}"/>
    <cellStyle name="60% - Énfasis6 2" xfId="120" xr:uid="{00000000-0005-0000-0000-000059000000}"/>
    <cellStyle name="60% - Énfasis6 3" xfId="121" xr:uid="{00000000-0005-0000-0000-00005A000000}"/>
    <cellStyle name="60% - Énfasis6 4" xfId="122" xr:uid="{00000000-0005-0000-0000-00005B000000}"/>
    <cellStyle name="60% - Énfasis6 5" xfId="123" xr:uid="{00000000-0005-0000-0000-00005C000000}"/>
    <cellStyle name="8" xfId="124" xr:uid="{00000000-0005-0000-0000-00005D000000}"/>
    <cellStyle name="A" xfId="125" xr:uid="{00000000-0005-0000-0000-00005E000000}"/>
    <cellStyle name="Accent1" xfId="6" xr:uid="{00000000-0005-0000-0000-00005F000000}"/>
    <cellStyle name="Accent1 2" xfId="126" xr:uid="{00000000-0005-0000-0000-000060000000}"/>
    <cellStyle name="Accent2" xfId="127" xr:uid="{00000000-0005-0000-0000-000061000000}"/>
    <cellStyle name="Accent3" xfId="128" xr:uid="{00000000-0005-0000-0000-000062000000}"/>
    <cellStyle name="Accent4" xfId="129" xr:uid="{00000000-0005-0000-0000-000063000000}"/>
    <cellStyle name="Accent5" xfId="130" xr:uid="{00000000-0005-0000-0000-000064000000}"/>
    <cellStyle name="Accent6" xfId="131" xr:uid="{00000000-0005-0000-0000-000065000000}"/>
    <cellStyle name="aterials accounted for by Santiago in Above field accounts" xfId="132" xr:uid="{00000000-0005-0000-0000-000066000000}"/>
    <cellStyle name="Bad" xfId="133" xr:uid="{00000000-0005-0000-0000-000067000000}"/>
    <cellStyle name="Buena 2" xfId="134" xr:uid="{00000000-0005-0000-0000-000068000000}"/>
    <cellStyle name="Buena 3" xfId="135" xr:uid="{00000000-0005-0000-0000-000069000000}"/>
    <cellStyle name="Buena 4" xfId="136" xr:uid="{00000000-0005-0000-0000-00006A000000}"/>
    <cellStyle name="Buena 5" xfId="137" xr:uid="{00000000-0005-0000-0000-00006B000000}"/>
    <cellStyle name="Cabecera 1" xfId="138" xr:uid="{00000000-0005-0000-0000-00006C000000}"/>
    <cellStyle name="Cabecera 1 2" xfId="139" xr:uid="{00000000-0005-0000-0000-00006D000000}"/>
    <cellStyle name="Cabecera 1 2 2" xfId="140" xr:uid="{00000000-0005-0000-0000-00006E000000}"/>
    <cellStyle name="Cabecera 2" xfId="141" xr:uid="{00000000-0005-0000-0000-00006F000000}"/>
    <cellStyle name="Cabecera 2 2" xfId="142" xr:uid="{00000000-0005-0000-0000-000070000000}"/>
    <cellStyle name="Cabecera 2 2 2" xfId="143" xr:uid="{00000000-0005-0000-0000-000071000000}"/>
    <cellStyle name="Calc Currency (0)" xfId="144" xr:uid="{00000000-0005-0000-0000-000072000000}"/>
    <cellStyle name="Calc Currency (0) 2" xfId="145" xr:uid="{00000000-0005-0000-0000-000073000000}"/>
    <cellStyle name="Calc Currency (2)" xfId="146" xr:uid="{00000000-0005-0000-0000-000074000000}"/>
    <cellStyle name="Calc Percent (0)" xfId="147" xr:uid="{00000000-0005-0000-0000-000075000000}"/>
    <cellStyle name="Calc Percent (1)" xfId="148" xr:uid="{00000000-0005-0000-0000-000076000000}"/>
    <cellStyle name="Calc Percent (1) 2" xfId="149" xr:uid="{00000000-0005-0000-0000-000077000000}"/>
    <cellStyle name="Calc Percent (2)" xfId="150" xr:uid="{00000000-0005-0000-0000-000078000000}"/>
    <cellStyle name="Calc Percent (2) 2" xfId="151" xr:uid="{00000000-0005-0000-0000-000079000000}"/>
    <cellStyle name="Calc Units (0)" xfId="152" xr:uid="{00000000-0005-0000-0000-00007A000000}"/>
    <cellStyle name="Calc Units (0) 2" xfId="153" xr:uid="{00000000-0005-0000-0000-00007B000000}"/>
    <cellStyle name="Calc Units (1)" xfId="154" xr:uid="{00000000-0005-0000-0000-00007C000000}"/>
    <cellStyle name="Calc Units (1) 2" xfId="155" xr:uid="{00000000-0005-0000-0000-00007D000000}"/>
    <cellStyle name="Calc Units (2)" xfId="156" xr:uid="{00000000-0005-0000-0000-00007E000000}"/>
    <cellStyle name="Calculation" xfId="157" xr:uid="{00000000-0005-0000-0000-00007F000000}"/>
    <cellStyle name="Calculation 10" xfId="6769" xr:uid="{7E20766E-B1B2-49A4-8FD3-6A67D2201B1C}"/>
    <cellStyle name="Calculation 10 2" xfId="9934" xr:uid="{FA50131A-7090-47CB-A4F2-87AFAA4FC09A}"/>
    <cellStyle name="Calculation 11" xfId="7064" xr:uid="{14C3ADFD-6388-4C95-8342-2CE539E36F3D}"/>
    <cellStyle name="Calculation 11 2" xfId="10207" xr:uid="{B9F8F262-C634-4B3F-B0AD-9C89935AD3B7}"/>
    <cellStyle name="Calculation 12" xfId="7308" xr:uid="{988227A0-75D8-4269-85DD-61E6EABF5F00}"/>
    <cellStyle name="Calculation 12 2" xfId="10446" xr:uid="{E3869715-6C4A-4F96-8889-211811A6F4D8}"/>
    <cellStyle name="Calculation 13" xfId="7486" xr:uid="{089F28AF-09E7-4718-BFA3-FDC6B1610410}"/>
    <cellStyle name="Calculation 13 2" xfId="10620" xr:uid="{6EEC6E16-159B-4999-A98D-3860F2F49149}"/>
    <cellStyle name="Calculation 14" xfId="4338" xr:uid="{B36AF93D-D2E1-479E-9DC5-E5F4BDCE21AD}"/>
    <cellStyle name="Calculation 15" xfId="4508" xr:uid="{3F819C5E-BB31-472B-9D05-71ECEB0BA18C}"/>
    <cellStyle name="Calculation 16" xfId="10912" xr:uid="{1B0B3713-CF88-41E5-9641-25A542ED7B2C}"/>
    <cellStyle name="Calculation 17" xfId="11191" xr:uid="{161E2214-7AA3-40C4-B33A-3AB7A22BA225}"/>
    <cellStyle name="Calculation 18" xfId="11426" xr:uid="{56ACB766-97F6-4CAB-B0F6-BE297D0FDF2D}"/>
    <cellStyle name="Calculation 19" xfId="11160" xr:uid="{33E1615E-D307-466E-9BC1-FACFA778CF26}"/>
    <cellStyle name="Calculation 2" xfId="1423" xr:uid="{00000000-0005-0000-0000-000080000000}"/>
    <cellStyle name="Calculation 2 2" xfId="3533" xr:uid="{0B4AAE47-F41E-4FB8-8CE2-B2D0B5E8AADA}"/>
    <cellStyle name="Calculation 2 3" xfId="4839" xr:uid="{8AAC82FA-73CE-45CB-AFEB-050292A8414F}"/>
    <cellStyle name="Calculation 2 4" xfId="8049" xr:uid="{5ECC3E4A-013F-4DC5-8C86-494795F0CF25}"/>
    <cellStyle name="Calculation 20" xfId="11808" xr:uid="{58E3E986-9899-42B0-AD6B-6C9A70EA99F8}"/>
    <cellStyle name="Calculation 21" xfId="12009" xr:uid="{39230194-DCE0-4B2D-A6F1-11F7B7D7B949}"/>
    <cellStyle name="Calculation 22" xfId="12308" xr:uid="{58481A28-67EF-46FA-848A-87362B18472D}"/>
    <cellStyle name="Calculation 23" xfId="12593" xr:uid="{F4716A17-34DE-4B93-AF55-FEE291611D07}"/>
    <cellStyle name="Calculation 24" xfId="12303" xr:uid="{FC978800-E2FC-4802-AC90-2DA323E6D691}"/>
    <cellStyle name="Calculation 25" xfId="13054" xr:uid="{D7FE9616-D0AB-4CD7-8F82-2156A78ACA41}"/>
    <cellStyle name="Calculation 26" xfId="13231" xr:uid="{12D0439C-93FE-41F4-A966-3DDECCA274DB}"/>
    <cellStyle name="Calculation 3" xfId="1671" xr:uid="{00000000-0005-0000-0000-000081000000}"/>
    <cellStyle name="Calculation 3 2" xfId="3772" xr:uid="{47E7D582-F159-4A86-B3AD-F7DB7D36FBF8}"/>
    <cellStyle name="Calculation 3 3" xfId="5094" xr:uid="{9DA91D44-6547-4759-8AFA-E9E5263AFE7B}"/>
    <cellStyle name="Calculation 3 4" xfId="8294" xr:uid="{993DCCB3-63C3-4C84-8738-10CCDE6711E2}"/>
    <cellStyle name="Calculation 4" xfId="1934" xr:uid="{00000000-0005-0000-0000-000082000000}"/>
    <cellStyle name="Calculation 4 2" xfId="4034" xr:uid="{0BC78AE8-CC01-4693-8422-B84C3A53CC8F}"/>
    <cellStyle name="Calculation 4 3" xfId="5338" xr:uid="{59CDD777-7FC6-4944-ABFC-7544D27D771C}"/>
    <cellStyle name="Calculation 4 4" xfId="8530" xr:uid="{4F42B4CE-D2F4-449A-A292-CF8D3988E90B}"/>
    <cellStyle name="Calculation 5" xfId="2188" xr:uid="{7AA9D33D-12A5-48D5-883B-0E1323A5DF90}"/>
    <cellStyle name="Calculation 5 2" xfId="5574" xr:uid="{1E5C3EC8-2615-4633-B262-1572B5E2B136}"/>
    <cellStyle name="Calculation 5 3" xfId="8766" xr:uid="{90DB1841-66DF-4068-B096-92D4C8224B91}"/>
    <cellStyle name="Calculation 6" xfId="2424" xr:uid="{AC2630EE-CABD-421A-9760-F1691AB5E7DB}"/>
    <cellStyle name="Calculation 6 2" xfId="5804" xr:uid="{FCFC605A-66F2-4234-8BA5-76DBE4A130FE}"/>
    <cellStyle name="Calculation 6 3" xfId="8996" xr:uid="{D6B7742B-5669-442A-BA85-EEB1FAC83C01}"/>
    <cellStyle name="Calculation 7" xfId="2667" xr:uid="{AF27B9D9-790F-4E85-B1B0-D2748757A3B6}"/>
    <cellStyle name="Calculation 7 2" xfId="6034" xr:uid="{10318A22-BCB4-435C-8929-DBEB72AE498B}"/>
    <cellStyle name="Calculation 7 3" xfId="9226" xr:uid="{504E595D-FC3C-46D5-B65F-F809DA7A779D}"/>
    <cellStyle name="Calculation 8" xfId="2899" xr:uid="{5439874A-245D-4473-B3A2-69C340067902}"/>
    <cellStyle name="Calculation 8 2" xfId="6267" xr:uid="{F758EBEC-F733-4714-A1D8-DEF32FE0CEC4}"/>
    <cellStyle name="Calculation 8 3" xfId="9456" xr:uid="{9284D86E-15B5-4FBD-AB43-0BF31D2A025D}"/>
    <cellStyle name="Calculation 9" xfId="3108" xr:uid="{20BBE2F1-BFF4-4CF0-8FD3-9127D3CD7215}"/>
    <cellStyle name="Calculation 9 2" xfId="6508" xr:uid="{561DD2E7-ECAB-48CB-B801-D798635DAC89}"/>
    <cellStyle name="Calculation 9 3" xfId="9692" xr:uid="{54E6AAFB-FF08-47DF-A462-CFB3D269406C}"/>
    <cellStyle name="Cálculo 2" xfId="158" xr:uid="{00000000-0005-0000-0000-000083000000}"/>
    <cellStyle name="Cálculo 2 10" xfId="6770" xr:uid="{5A62D4B7-27F1-4850-99AC-1EC124CABCB9}"/>
    <cellStyle name="Cálculo 2 10 2" xfId="9935" xr:uid="{9ECDE94A-9F58-4163-A019-CB62C3A016E7}"/>
    <cellStyle name="Cálculo 2 11" xfId="7065" xr:uid="{7E3866F6-E064-469E-8E10-0C00D758936F}"/>
    <cellStyle name="Cálculo 2 11 2" xfId="10208" xr:uid="{0EB8C1D6-5024-40F2-BDA5-B969CFEDC6F9}"/>
    <cellStyle name="Cálculo 2 12" xfId="7309" xr:uid="{1B2FD92C-AC89-4989-90AF-2DAF349E257F}"/>
    <cellStyle name="Cálculo 2 12 2" xfId="10447" xr:uid="{8F28C4F3-63AE-4142-A71C-7A7F2518DBA6}"/>
    <cellStyle name="Cálculo 2 13" xfId="7485" xr:uid="{8070070E-FB61-41F2-A95D-A080CBD398E0}"/>
    <cellStyle name="Cálculo 2 13 2" xfId="10619" xr:uid="{98A569D4-0B66-4573-A89E-EAB8B1B652D2}"/>
    <cellStyle name="Cálculo 2 14" xfId="4339" xr:uid="{970BE46F-47B0-41C3-8746-DEA8958778AD}"/>
    <cellStyle name="Cálculo 2 15" xfId="4507" xr:uid="{616B912D-5987-4E25-A65E-FECEA926056E}"/>
    <cellStyle name="Cálculo 2 16" xfId="10913" xr:uid="{2E12AF71-E8F9-460D-A24F-F5D63F4B6F9D}"/>
    <cellStyle name="Cálculo 2 17" xfId="11192" xr:uid="{23A5D17B-E523-42D5-AB54-8D06061B9218}"/>
    <cellStyle name="Cálculo 2 18" xfId="11425" xr:uid="{BFCD5733-8EB0-4408-A79F-6C616BF3466C}"/>
    <cellStyle name="Cálculo 2 19" xfId="11161" xr:uid="{5010BA6D-631D-4428-AEBB-0CD39CE9BA29}"/>
    <cellStyle name="Cálculo 2 2" xfId="1424" xr:uid="{00000000-0005-0000-0000-000084000000}"/>
    <cellStyle name="Cálculo 2 2 2" xfId="3534" xr:uid="{B04B0A76-A95F-4BB0-AFEC-941DE5635FE1}"/>
    <cellStyle name="Cálculo 2 2 3" xfId="4840" xr:uid="{D425620B-0651-44EF-9A05-FD6BF7A7D71D}"/>
    <cellStyle name="Cálculo 2 2 4" xfId="8050" xr:uid="{306EBA57-7AF6-4B1C-AFB7-E016F4ABDF50}"/>
    <cellStyle name="Cálculo 2 20" xfId="11809" xr:uid="{19B7E426-3047-4716-A4AD-17B5223F87C8}"/>
    <cellStyle name="Cálculo 2 21" xfId="12010" xr:uid="{3412BFF3-5BCA-4CBE-B90E-1FD76A4D0FB0}"/>
    <cellStyle name="Cálculo 2 22" xfId="12309" xr:uid="{3843BAC6-1C13-446C-AE8B-1580487BDFC8}"/>
    <cellStyle name="Cálculo 2 23" xfId="12592" xr:uid="{3005A794-1820-4701-B86C-E6739046B464}"/>
    <cellStyle name="Cálculo 2 24" xfId="12304" xr:uid="{8E26E1D3-CF3C-4427-B396-6741C9D9CF94}"/>
    <cellStyle name="Cálculo 2 25" xfId="13055" xr:uid="{6897FDFE-4E7D-41B2-AD25-C2C89AAA5CC7}"/>
    <cellStyle name="Cálculo 2 26" xfId="13230" xr:uid="{76BF16AA-BE89-4739-AF27-9AA69B7FD5E3}"/>
    <cellStyle name="Cálculo 2 3" xfId="1672" xr:uid="{00000000-0005-0000-0000-000085000000}"/>
    <cellStyle name="Cálculo 2 3 2" xfId="3773" xr:uid="{EC7BE610-2432-4FB9-95D0-52F099A1A933}"/>
    <cellStyle name="Cálculo 2 3 3" xfId="5095" xr:uid="{B1915146-5FF2-43CF-95B5-995FF87FCECE}"/>
    <cellStyle name="Cálculo 2 3 4" xfId="8295" xr:uid="{1CE30267-74C1-4E4C-A0D3-A054C53A1AA7}"/>
    <cellStyle name="Cálculo 2 4" xfId="1935" xr:uid="{00000000-0005-0000-0000-000086000000}"/>
    <cellStyle name="Cálculo 2 4 2" xfId="4035" xr:uid="{E6015A24-FA6E-4805-963F-A28BD703D5D5}"/>
    <cellStyle name="Cálculo 2 4 3" xfId="5339" xr:uid="{8759F3DB-8AC1-48D3-A659-41F70C38CA64}"/>
    <cellStyle name="Cálculo 2 4 4" xfId="8531" xr:uid="{94CA66F8-D8A6-4440-85EC-DFAC7350CD68}"/>
    <cellStyle name="Cálculo 2 5" xfId="2189" xr:uid="{BE88D0EE-5A71-4A86-ADBB-F226DA54BC9F}"/>
    <cellStyle name="Cálculo 2 5 2" xfId="5575" xr:uid="{D3424B30-9317-4016-AA13-365D2E4BFD01}"/>
    <cellStyle name="Cálculo 2 5 3" xfId="8767" xr:uid="{6D64A0A0-E44A-4B13-ACDA-D370CA5B13BB}"/>
    <cellStyle name="Cálculo 2 6" xfId="2425" xr:uid="{F7ADAF73-991F-42AE-A1DF-4E4F57274FB7}"/>
    <cellStyle name="Cálculo 2 6 2" xfId="5805" xr:uid="{09749844-DA7E-48FC-AC9F-8BA8D62682D2}"/>
    <cellStyle name="Cálculo 2 6 3" xfId="8997" xr:uid="{F54F9211-F051-4428-AC86-D846254A4AAD}"/>
    <cellStyle name="Cálculo 2 7" xfId="2668" xr:uid="{E45FE1AD-A9A9-4B62-90C9-06104E5D5636}"/>
    <cellStyle name="Cálculo 2 7 2" xfId="6035" xr:uid="{E9E9B316-30E4-4A45-AC67-17A990AE05CF}"/>
    <cellStyle name="Cálculo 2 7 3" xfId="9227" xr:uid="{96A2A919-6250-470E-8DAC-5E3C5A85645F}"/>
    <cellStyle name="Cálculo 2 8" xfId="2900" xr:uid="{DB3FEBB3-1DD9-4696-9EF7-8EDAC817EB53}"/>
    <cellStyle name="Cálculo 2 8 2" xfId="6268" xr:uid="{B7D30814-D6BC-4F36-A2DB-4CCABBA1EB29}"/>
    <cellStyle name="Cálculo 2 8 3" xfId="9457" xr:uid="{074405DA-CC27-4F4B-860A-3B96D68C19C8}"/>
    <cellStyle name="Cálculo 2 9" xfId="3109" xr:uid="{178EB377-1999-4920-9AE7-E2C05E3F02B7}"/>
    <cellStyle name="Cálculo 2 9 2" xfId="6509" xr:uid="{11C5EE82-0CC2-40D9-A1F4-B441FBFA8651}"/>
    <cellStyle name="Cálculo 2 9 3" xfId="9693" xr:uid="{FB956318-4F52-45DC-A642-B7DDE57C80ED}"/>
    <cellStyle name="Cálculo 3" xfId="159" xr:uid="{00000000-0005-0000-0000-000087000000}"/>
    <cellStyle name="Cálculo 3 10" xfId="6771" xr:uid="{BD56F85B-2930-41E7-9098-6B123B9FAE2B}"/>
    <cellStyle name="Cálculo 3 10 2" xfId="9936" xr:uid="{1E5C04D0-FC81-4C99-8149-EDC25E1DE19B}"/>
    <cellStyle name="Cálculo 3 11" xfId="7066" xr:uid="{C508C8A0-E8C3-4075-B787-CB9A9A81730A}"/>
    <cellStyle name="Cálculo 3 11 2" xfId="10209" xr:uid="{A080C795-45D1-46D2-B611-D5BDBD462360}"/>
    <cellStyle name="Cálculo 3 12" xfId="7310" xr:uid="{DA876F0A-5D09-4627-B52D-DACC751BE407}"/>
    <cellStyle name="Cálculo 3 12 2" xfId="10448" xr:uid="{EC837725-44E6-4AF2-B137-055F57409A2D}"/>
    <cellStyle name="Cálculo 3 13" xfId="7484" xr:uid="{BE34259D-A7B2-4928-B30D-5FF52C40F8A1}"/>
    <cellStyle name="Cálculo 3 13 2" xfId="10618" xr:uid="{D2B35E56-2863-441E-A1EF-B7438B41CF08}"/>
    <cellStyle name="Cálculo 3 14" xfId="4340" xr:uid="{C2CB3458-DBBE-47DF-9404-55F1FF10F431}"/>
    <cellStyle name="Cálculo 3 15" xfId="4506" xr:uid="{7F2CB01C-6053-4C92-BBE6-22A10A8DF5CF}"/>
    <cellStyle name="Cálculo 3 16" xfId="10914" xr:uid="{C8EB5007-9E60-4833-8B6A-578773F1B460}"/>
    <cellStyle name="Cálculo 3 17" xfId="11193" xr:uid="{FFE0F10F-FF30-4ABF-A565-C79D558F591D}"/>
    <cellStyle name="Cálculo 3 18" xfId="11424" xr:uid="{77415092-837A-4F5A-A4C0-C529F23FD1E2}"/>
    <cellStyle name="Cálculo 3 19" xfId="11162" xr:uid="{E9DA8494-BD32-4C8A-85A9-5F803FA22CDB}"/>
    <cellStyle name="Cálculo 3 2" xfId="1425" xr:uid="{00000000-0005-0000-0000-000088000000}"/>
    <cellStyle name="Cálculo 3 2 2" xfId="3535" xr:uid="{06A899C7-A2AB-4F09-8733-3451E924AFD3}"/>
    <cellStyle name="Cálculo 3 2 3" xfId="4841" xr:uid="{0808EFEE-75AE-4DBD-9580-8445633ECFD5}"/>
    <cellStyle name="Cálculo 3 2 4" xfId="8051" xr:uid="{3B5A61D5-DD45-4EC4-8CE4-6F84A1E9CA60}"/>
    <cellStyle name="Cálculo 3 20" xfId="11810" xr:uid="{CA4B859E-2B45-4CB9-9DE5-C869EC127282}"/>
    <cellStyle name="Cálculo 3 21" xfId="12011" xr:uid="{AD664034-7C68-4AF4-AF56-C10CEDF73839}"/>
    <cellStyle name="Cálculo 3 22" xfId="12310" xr:uid="{4DE14C81-1926-472A-A1E5-675418A9B6E2}"/>
    <cellStyle name="Cálculo 3 23" xfId="12591" xr:uid="{43347E1E-0071-471A-96F5-6DACE5D9004F}"/>
    <cellStyle name="Cálculo 3 24" xfId="12305" xr:uid="{B953DCB5-FA4D-40E0-9768-AA1534AB0D11}"/>
    <cellStyle name="Cálculo 3 25" xfId="13056" xr:uid="{660C4896-74ED-48FF-A285-24D18C0C7D79}"/>
    <cellStyle name="Cálculo 3 26" xfId="13229" xr:uid="{014F6DE6-CFEF-437D-9ED9-1A60C1E31D55}"/>
    <cellStyle name="Cálculo 3 3" xfId="1673" xr:uid="{00000000-0005-0000-0000-000089000000}"/>
    <cellStyle name="Cálculo 3 3 2" xfId="3774" xr:uid="{887DDA03-C3E2-4E1C-A675-821A4101A7ED}"/>
    <cellStyle name="Cálculo 3 3 3" xfId="5096" xr:uid="{00EB6A2B-7C7C-4053-9256-392B691AB562}"/>
    <cellStyle name="Cálculo 3 3 4" xfId="8296" xr:uid="{8610821F-B8A1-4A12-9086-EFF45EADBA44}"/>
    <cellStyle name="Cálculo 3 4" xfId="1936" xr:uid="{00000000-0005-0000-0000-00008A000000}"/>
    <cellStyle name="Cálculo 3 4 2" xfId="4036" xr:uid="{37D94397-E8D5-478C-8B05-AD613680EB1D}"/>
    <cellStyle name="Cálculo 3 4 3" xfId="5340" xr:uid="{D6A39947-CD63-4DDD-B15F-8A21387E498B}"/>
    <cellStyle name="Cálculo 3 4 4" xfId="8532" xr:uid="{B6168E5E-213B-48CB-9828-7136A916A7C1}"/>
    <cellStyle name="Cálculo 3 5" xfId="2190" xr:uid="{7760EAED-C282-4CA6-9581-A2961C7AD446}"/>
    <cellStyle name="Cálculo 3 5 2" xfId="5576" xr:uid="{481A1A61-2FC8-4212-AC83-B4E54FD70455}"/>
    <cellStyle name="Cálculo 3 5 3" xfId="8768" xr:uid="{63D30C1A-97EC-4A99-9E14-E621CED1C120}"/>
    <cellStyle name="Cálculo 3 6" xfId="2426" xr:uid="{3FF58F38-791D-45AA-A5B1-916A53F781DD}"/>
    <cellStyle name="Cálculo 3 6 2" xfId="5806" xr:uid="{CAB18136-CC8D-40D1-9B2A-39CE6D9A5AC6}"/>
    <cellStyle name="Cálculo 3 6 3" xfId="8998" xr:uid="{822A43B8-59FE-464F-9507-0D9465F6D124}"/>
    <cellStyle name="Cálculo 3 7" xfId="2669" xr:uid="{E10D96F8-8ACF-4F97-A9FE-F444A85FFC7D}"/>
    <cellStyle name="Cálculo 3 7 2" xfId="6036" xr:uid="{56EE4982-2857-4466-B9DB-3AD6A38A7768}"/>
    <cellStyle name="Cálculo 3 7 3" xfId="9228" xr:uid="{691EC767-6150-41B3-835B-40248FEEE2B6}"/>
    <cellStyle name="Cálculo 3 8" xfId="2901" xr:uid="{597445D7-9AE6-4FF0-8762-79E4BF465186}"/>
    <cellStyle name="Cálculo 3 8 2" xfId="6269" xr:uid="{A4FEAD49-7FA1-47E5-A4BB-759307DE1D00}"/>
    <cellStyle name="Cálculo 3 8 3" xfId="9458" xr:uid="{612835CA-7C01-43AC-9ABA-EDF44FEF44BB}"/>
    <cellStyle name="Cálculo 3 9" xfId="3110" xr:uid="{6F4D5E0A-CD18-432A-AFBF-63A09EC8F342}"/>
    <cellStyle name="Cálculo 3 9 2" xfId="6510" xr:uid="{6510F665-1C6B-43D3-BFA7-4AFADB582403}"/>
    <cellStyle name="Cálculo 3 9 3" xfId="9694" xr:uid="{EBC1211A-CB9B-4DF9-B5C4-039887F2794C}"/>
    <cellStyle name="Cálculo 4" xfId="160" xr:uid="{00000000-0005-0000-0000-00008B000000}"/>
    <cellStyle name="Cálculo 4 10" xfId="6772" xr:uid="{278A06E9-D6E6-4853-B46C-DC22287DC9D7}"/>
    <cellStyle name="Cálculo 4 10 2" xfId="9937" xr:uid="{8270B9B3-0CC7-401B-9E8F-43DCDC796C5D}"/>
    <cellStyle name="Cálculo 4 11" xfId="7067" xr:uid="{34772B77-7BA6-46AC-9924-487C5C4FF261}"/>
    <cellStyle name="Cálculo 4 11 2" xfId="10210" xr:uid="{48A46919-C3B0-4C74-B518-9A4ECF28D2D1}"/>
    <cellStyle name="Cálculo 4 12" xfId="7311" xr:uid="{3B59E03B-ED7B-42F9-AEDB-3964D5311033}"/>
    <cellStyle name="Cálculo 4 12 2" xfId="10449" xr:uid="{CA3169F5-FCFD-486E-A787-A62A08321C68}"/>
    <cellStyle name="Cálculo 4 13" xfId="7483" xr:uid="{37BE8A0D-23FC-428C-9120-6CE5035DA2D1}"/>
    <cellStyle name="Cálculo 4 13 2" xfId="10617" xr:uid="{254A27D9-77EE-477E-9F88-C5DF6BF10AE1}"/>
    <cellStyle name="Cálculo 4 14" xfId="4341" xr:uid="{FEE0816B-3BC1-4095-8C2C-EADFFF4B2158}"/>
    <cellStyle name="Cálculo 4 15" xfId="4505" xr:uid="{3E00F815-B961-46F8-BF70-E3444420EB81}"/>
    <cellStyle name="Cálculo 4 16" xfId="10915" xr:uid="{7C149915-0401-4CB6-8ADF-66A42D6E85C2}"/>
    <cellStyle name="Cálculo 4 17" xfId="11194" xr:uid="{E3446B10-AB8F-427A-8261-26276D8F0015}"/>
    <cellStyle name="Cálculo 4 18" xfId="11408" xr:uid="{92E86998-4792-4EC8-A2E7-E195619DA8AE}"/>
    <cellStyle name="Cálculo 4 19" xfId="11163" xr:uid="{B9DFABCF-17DB-41FF-8B41-6C95C3C06682}"/>
    <cellStyle name="Cálculo 4 2" xfId="1426" xr:uid="{00000000-0005-0000-0000-00008C000000}"/>
    <cellStyle name="Cálculo 4 2 2" xfId="3536" xr:uid="{44086479-67F6-4780-97D8-1A85102D4D75}"/>
    <cellStyle name="Cálculo 4 2 3" xfId="4842" xr:uid="{85B5AC9F-DB78-473A-B5BC-85F99674F87F}"/>
    <cellStyle name="Cálculo 4 2 4" xfId="8052" xr:uid="{A37AC091-CAF7-4D55-8573-DC7F2A501C93}"/>
    <cellStyle name="Cálculo 4 20" xfId="11811" xr:uid="{C70CDAEC-90A2-4B4C-83FA-EAFDA6EA4C15}"/>
    <cellStyle name="Cálculo 4 21" xfId="12012" xr:uid="{EDADC389-7962-4886-BE33-56B0ABE265FB}"/>
    <cellStyle name="Cálculo 4 22" xfId="12311" xr:uid="{61F1B1E8-0C90-497E-90A2-E19D8537CAF9}"/>
    <cellStyle name="Cálculo 4 23" xfId="12590" xr:uid="{098898E9-546C-447C-B176-7FC0B63ED439}"/>
    <cellStyle name="Cálculo 4 24" xfId="12306" xr:uid="{E7C6D4E1-8210-4EC8-B08A-4F880FE81AF0}"/>
    <cellStyle name="Cálculo 4 25" xfId="13057" xr:uid="{A9596D6B-E104-4222-AF67-0F4E95C9BF8B}"/>
    <cellStyle name="Cálculo 4 26" xfId="13228" xr:uid="{798EAC64-6C0E-44DB-8851-A0EB34BF3A90}"/>
    <cellStyle name="Cálculo 4 3" xfId="1674" xr:uid="{00000000-0005-0000-0000-00008D000000}"/>
    <cellStyle name="Cálculo 4 3 2" xfId="3775" xr:uid="{87731A14-53EC-4423-AD48-3225AC9FAB44}"/>
    <cellStyle name="Cálculo 4 3 3" xfId="5097" xr:uid="{835C4F6B-437D-4304-A709-F8A79078B358}"/>
    <cellStyle name="Cálculo 4 3 4" xfId="8297" xr:uid="{AF8F5013-2103-4370-9759-6959B1B782B4}"/>
    <cellStyle name="Cálculo 4 4" xfId="1937" xr:uid="{00000000-0005-0000-0000-00008E000000}"/>
    <cellStyle name="Cálculo 4 4 2" xfId="4037" xr:uid="{68B6653A-A4E3-4B91-A345-8D126554DF73}"/>
    <cellStyle name="Cálculo 4 4 3" xfId="5341" xr:uid="{42A05E55-48B5-464F-85AA-B725FFC1CB11}"/>
    <cellStyle name="Cálculo 4 4 4" xfId="8533" xr:uid="{1A0D46A3-391D-4EA9-8BF0-B93E120FB9C3}"/>
    <cellStyle name="Cálculo 4 5" xfId="2191" xr:uid="{957E4727-1133-4C17-A5B1-F91DFB9C59A4}"/>
    <cellStyle name="Cálculo 4 5 2" xfId="5577" xr:uid="{E13A7AF2-453E-473C-9E34-F72942AD1487}"/>
    <cellStyle name="Cálculo 4 5 3" xfId="8769" xr:uid="{9DC8D379-5623-4A6D-9F00-3B4E565A26A1}"/>
    <cellStyle name="Cálculo 4 6" xfId="2427" xr:uid="{A61C029B-062C-464E-A4D8-AAF1DD8AB47C}"/>
    <cellStyle name="Cálculo 4 6 2" xfId="5807" xr:uid="{9AA1DB3E-DE93-48D0-811C-1EE21B084270}"/>
    <cellStyle name="Cálculo 4 6 3" xfId="8999" xr:uid="{61864D2D-81E5-4119-9D19-CBCCBA9F950C}"/>
    <cellStyle name="Cálculo 4 7" xfId="2670" xr:uid="{95A19B81-0EC7-4B75-A3D1-6568B00C38BE}"/>
    <cellStyle name="Cálculo 4 7 2" xfId="6037" xr:uid="{C35DD608-7E02-41FE-8AE0-9C1119F00717}"/>
    <cellStyle name="Cálculo 4 7 3" xfId="9229" xr:uid="{108116CE-109D-452B-90BD-73EA3DB0E4F7}"/>
    <cellStyle name="Cálculo 4 8" xfId="2902" xr:uid="{45890A25-66EF-4B37-B55F-47A2A47BEB13}"/>
    <cellStyle name="Cálculo 4 8 2" xfId="6270" xr:uid="{BF247D64-3EB4-426E-8EAA-3A4ACB4BF13C}"/>
    <cellStyle name="Cálculo 4 8 3" xfId="9459" xr:uid="{BE3B3423-6370-4AD5-BDC9-7EDBAA48D3C3}"/>
    <cellStyle name="Cálculo 4 9" xfId="3111" xr:uid="{633FB0B9-AC95-4B2D-8C8B-DE26F5F8F520}"/>
    <cellStyle name="Cálculo 4 9 2" xfId="6511" xr:uid="{394652B2-8AE8-4A33-8958-E5F5A4F63973}"/>
    <cellStyle name="Cálculo 4 9 3" xfId="9695" xr:uid="{42A0E35F-3A1C-48DC-8CD8-0CF7ADCDCF12}"/>
    <cellStyle name="Cálculo 5" xfId="161" xr:uid="{00000000-0005-0000-0000-00008F000000}"/>
    <cellStyle name="Cálculo 5 10" xfId="6773" xr:uid="{0B507AF2-069D-4766-A4AC-105833DED4FD}"/>
    <cellStyle name="Cálculo 5 10 2" xfId="9938" xr:uid="{8A7D660D-35A8-43F0-AB2E-25A732F04B0D}"/>
    <cellStyle name="Cálculo 5 11" xfId="7068" xr:uid="{D2AA1729-296C-440C-B934-919D53CBC1F1}"/>
    <cellStyle name="Cálculo 5 11 2" xfId="10211" xr:uid="{A3B1CE81-EEBC-447A-BE79-A08D8F12A355}"/>
    <cellStyle name="Cálculo 5 12" xfId="7312" xr:uid="{F1D844EC-0AB5-4EA0-957A-97BC0432D634}"/>
    <cellStyle name="Cálculo 5 12 2" xfId="10450" xr:uid="{E7125DA8-DC63-43D2-8797-714E798631E1}"/>
    <cellStyle name="Cálculo 5 13" xfId="7482" xr:uid="{9EB10283-6B29-408B-B2E1-97EC1EF8C2DB}"/>
    <cellStyle name="Cálculo 5 13 2" xfId="10616" xr:uid="{0090F87D-429D-460C-82C9-6D9FE2438113}"/>
    <cellStyle name="Cálculo 5 14" xfId="4342" xr:uid="{370B8BC3-4645-41F0-A07C-77972D0BDDFA}"/>
    <cellStyle name="Cálculo 5 15" xfId="4504" xr:uid="{B128204D-CD42-459E-8BF9-D2E26022F166}"/>
    <cellStyle name="Cálculo 5 16" xfId="10916" xr:uid="{27BEBBC1-6112-4E83-97FB-DE5E661489CC}"/>
    <cellStyle name="Cálculo 5 17" xfId="11195" xr:uid="{54F22B0D-82AB-40AB-B986-ACF176815D26}"/>
    <cellStyle name="Cálculo 5 18" xfId="11407" xr:uid="{2E5AB9ED-DD51-4461-A36A-33440B1490EF}"/>
    <cellStyle name="Cálculo 5 19" xfId="11164" xr:uid="{0A5D3466-D8B3-4C9F-AC55-83C6C9228FC1}"/>
    <cellStyle name="Cálculo 5 2" xfId="1427" xr:uid="{00000000-0005-0000-0000-000090000000}"/>
    <cellStyle name="Cálculo 5 2 2" xfId="3537" xr:uid="{0D8D2E76-95E1-40F4-93EA-6784C41D673D}"/>
    <cellStyle name="Cálculo 5 2 3" xfId="4843" xr:uid="{C471E906-2368-42C0-9255-564D858EFABF}"/>
    <cellStyle name="Cálculo 5 2 4" xfId="8053" xr:uid="{6EFEF24E-5481-4676-ABAA-AC6AC268EED8}"/>
    <cellStyle name="Cálculo 5 20" xfId="11812" xr:uid="{4A8F9D1B-AC0C-45AD-B72E-E297AB69B3D8}"/>
    <cellStyle name="Cálculo 5 21" xfId="12013" xr:uid="{0D0AFB07-78F7-489D-A6CC-1AD7A9DC722D}"/>
    <cellStyle name="Cálculo 5 22" xfId="12312" xr:uid="{46F122C1-0079-423D-9C16-1A3391F744FB}"/>
    <cellStyle name="Cálculo 5 23" xfId="12589" xr:uid="{5D93A105-57B1-4B6C-91D4-7864B44DA94F}"/>
    <cellStyle name="Cálculo 5 24" xfId="12307" xr:uid="{BF099DEE-BC8D-4F26-9C20-12357A039A71}"/>
    <cellStyle name="Cálculo 5 25" xfId="13058" xr:uid="{B3763075-C70D-4902-824E-A50144992DF4}"/>
    <cellStyle name="Cálculo 5 26" xfId="13227" xr:uid="{AB83262B-5CE7-498D-AF1E-D496F19265C4}"/>
    <cellStyle name="Cálculo 5 3" xfId="1675" xr:uid="{00000000-0005-0000-0000-000091000000}"/>
    <cellStyle name="Cálculo 5 3 2" xfId="3776" xr:uid="{8478820C-0F90-48AE-A5C2-67F2BCCDE02A}"/>
    <cellStyle name="Cálculo 5 3 3" xfId="5098" xr:uid="{0C7FE3AB-A7ED-44DE-AA98-0DA19FB958F5}"/>
    <cellStyle name="Cálculo 5 3 4" xfId="8298" xr:uid="{1622741D-7745-4856-A138-2BA2A4B7D421}"/>
    <cellStyle name="Cálculo 5 4" xfId="1938" xr:uid="{00000000-0005-0000-0000-000092000000}"/>
    <cellStyle name="Cálculo 5 4 2" xfId="4038" xr:uid="{B955ED9D-6E84-4226-89AD-84B75F56B183}"/>
    <cellStyle name="Cálculo 5 4 3" xfId="5342" xr:uid="{41478B29-F471-46EF-A415-5E1ACE28109D}"/>
    <cellStyle name="Cálculo 5 4 4" xfId="8534" xr:uid="{9C1A0F05-8850-4051-8A7F-D05D81D5E2AF}"/>
    <cellStyle name="Cálculo 5 5" xfId="2192" xr:uid="{D8E13634-AA23-4CEE-A08E-8E13DF4D5DEA}"/>
    <cellStyle name="Cálculo 5 5 2" xfId="5578" xr:uid="{FF45CD21-986B-4030-8B23-07D7C101BFC5}"/>
    <cellStyle name="Cálculo 5 5 3" xfId="8770" xr:uid="{3D32F7E9-B7EB-4486-8525-471E36EB950F}"/>
    <cellStyle name="Cálculo 5 6" xfId="2428" xr:uid="{95AA43B8-C312-4B68-95E2-F217743ADF72}"/>
    <cellStyle name="Cálculo 5 6 2" xfId="5808" xr:uid="{721089EC-C52D-45EA-852D-0F257739F38E}"/>
    <cellStyle name="Cálculo 5 6 3" xfId="9000" xr:uid="{ED92BE0A-EF32-4143-B06C-A7D38CF48F62}"/>
    <cellStyle name="Cálculo 5 7" xfId="2671" xr:uid="{6295EC8B-66BD-4397-93F0-E6B762D0AEE1}"/>
    <cellStyle name="Cálculo 5 7 2" xfId="6038" xr:uid="{51C2AD79-5E14-4934-88BF-056C49706BD5}"/>
    <cellStyle name="Cálculo 5 7 3" xfId="9230" xr:uid="{9CAA094F-7BEC-4D59-BCC2-058F688206E2}"/>
    <cellStyle name="Cálculo 5 8" xfId="2903" xr:uid="{62806562-F82A-496E-8A9E-22FA059D8454}"/>
    <cellStyle name="Cálculo 5 8 2" xfId="6271" xr:uid="{DA277F37-71D3-452F-9390-26758CCAC419}"/>
    <cellStyle name="Cálculo 5 8 3" xfId="9460" xr:uid="{2E9CD3AC-E809-4780-B007-22AEAC2650AB}"/>
    <cellStyle name="Cálculo 5 9" xfId="3112" xr:uid="{35D1591E-987F-4074-8552-5B6B5485B862}"/>
    <cellStyle name="Cálculo 5 9 2" xfId="6512" xr:uid="{32311E51-D872-445E-8723-61DF3D9B5AEA}"/>
    <cellStyle name="Cálculo 5 9 3" xfId="9696" xr:uid="{AA9FFAEB-9D44-402E-B2DF-862CBC9B0CDD}"/>
    <cellStyle name="Celda de comprobación 2" xfId="162" xr:uid="{00000000-0005-0000-0000-000093000000}"/>
    <cellStyle name="Celda de comprobación 2 10" xfId="10917" xr:uid="{F5C4C7DB-4897-45D1-8AFA-A14C527015C0}"/>
    <cellStyle name="Celda de comprobación 2 11" xfId="11196" xr:uid="{1ABDAA46-EF77-49DE-8CDB-09962AEFCA31}"/>
    <cellStyle name="Celda de comprobación 2 12" xfId="11406" xr:uid="{7F3D2B80-52F2-42A7-A7AC-4A85E7159AB2}"/>
    <cellStyle name="Celda de comprobación 2 13" xfId="11165" xr:uid="{04139310-CBE4-41C9-8834-F266A8EA2554}"/>
    <cellStyle name="Celda de comprobación 2 14" xfId="12588" xr:uid="{04D5FAEE-FDBD-4E78-8719-A013749F44AE}"/>
    <cellStyle name="Celda de comprobación 2 15" xfId="12723" xr:uid="{7FF9D1C0-2987-4047-9D4C-0C90E9D88432}"/>
    <cellStyle name="Celda de comprobación 2 16" xfId="13226" xr:uid="{35397491-4CB9-4FE7-8B51-C8329B9412FE}"/>
    <cellStyle name="Celda de comprobación 2 2" xfId="1241" xr:uid="{00000000-0005-0000-0000-000094000000}"/>
    <cellStyle name="Celda de comprobación 2 2 2" xfId="3352" xr:uid="{E074FC89-7A0D-4830-9820-726C4C0224ED}"/>
    <cellStyle name="Celda de comprobación 2 2 3" xfId="4658" xr:uid="{0442E87C-662E-4045-BCBE-B9C899391096}"/>
    <cellStyle name="Celda de comprobación 2 2 4" xfId="7872" xr:uid="{D1C18567-198A-46F7-917F-0964AD6D7FDF}"/>
    <cellStyle name="Celda de comprobación 2 3" xfId="1428" xr:uid="{00000000-0005-0000-0000-000095000000}"/>
    <cellStyle name="Celda de comprobación 2 3 2" xfId="3538" xr:uid="{41AD0958-B0FA-41D8-9AD3-1C4C2D816F97}"/>
    <cellStyle name="Celda de comprobación 2 3 3" xfId="4844" xr:uid="{5F47643B-F270-469E-AE71-316C0F605E31}"/>
    <cellStyle name="Celda de comprobación 2 3 4" xfId="8054" xr:uid="{F0D382AD-E8D7-4ABC-BAF7-3E6139281769}"/>
    <cellStyle name="Celda de comprobación 2 4" xfId="4039" xr:uid="{12FEE66C-D63D-41C9-BE3C-05422603CBFA}"/>
    <cellStyle name="Celda de comprobación 2 4 2" xfId="6513" xr:uid="{10C21C61-A77C-409D-B654-377271A82E0B}"/>
    <cellStyle name="Celda de comprobación 2 4 3" xfId="9697" xr:uid="{8F26DD38-51C0-47F1-BC7B-F6B1A8C1C560}"/>
    <cellStyle name="Celda de comprobación 2 5" xfId="3113" xr:uid="{66E5FDDC-2DAC-4DBE-AF33-82182EA9CB42}"/>
    <cellStyle name="Celda de comprobación 2 5 2" xfId="6774" xr:uid="{E3CFC98D-68A3-4C2E-BD6B-602DEA041098}"/>
    <cellStyle name="Celda de comprobación 2 5 3" xfId="9939" xr:uid="{46F4EC9F-E6A8-40E9-83E3-BEE548C12426}"/>
    <cellStyle name="Celda de comprobación 2 6" xfId="7069" xr:uid="{17E192BA-2E49-4A9A-B6BD-1737572D2E77}"/>
    <cellStyle name="Celda de comprobación 2 6 2" xfId="10212" xr:uid="{95B81F3B-3A9C-4A9E-A075-46E8D2D6ED49}"/>
    <cellStyle name="Celda de comprobación 2 7" xfId="7313" xr:uid="{48284C6A-57A5-4FAD-942E-CA0A45903886}"/>
    <cellStyle name="Celda de comprobación 2 7 2" xfId="10451" xr:uid="{384940C2-D6B5-461A-8F9A-2C656C8E46A0}"/>
    <cellStyle name="Celda de comprobación 2 8" xfId="7481" xr:uid="{5DD2A251-AA7D-422A-A040-703CA57379CB}"/>
    <cellStyle name="Celda de comprobación 2 8 2" xfId="10615" xr:uid="{DA435AC2-FF9E-4999-8BE2-88A27140BD4A}"/>
    <cellStyle name="Celda de comprobación 2 9" xfId="4343" xr:uid="{5C2E74B4-400E-41E2-8CCF-86740E3DBDD5}"/>
    <cellStyle name="Celda de comprobación 3" xfId="163" xr:uid="{00000000-0005-0000-0000-000096000000}"/>
    <cellStyle name="Celda de comprobación 3 10" xfId="10918" xr:uid="{2985A13E-87CA-4653-ACA8-2B316670D583}"/>
    <cellStyle name="Celda de comprobación 3 11" xfId="11197" xr:uid="{9E8AD422-1B54-4F0D-8F2C-22076F49E0C0}"/>
    <cellStyle name="Celda de comprobación 3 12" xfId="11405" xr:uid="{19FDF805-3E02-4744-86C4-C7FA5D99995E}"/>
    <cellStyle name="Celda de comprobación 3 13" xfId="11166" xr:uid="{265C5324-5E98-4511-ABB4-72C704977EFF}"/>
    <cellStyle name="Celda de comprobación 3 14" xfId="12587" xr:uid="{E8A29E5B-3947-4ABC-86F3-826E551AAABF}"/>
    <cellStyle name="Celda de comprobación 3 15" xfId="12722" xr:uid="{50ACC47D-14A9-43A6-8A2C-2EC12279BC2E}"/>
    <cellStyle name="Celda de comprobación 3 16" xfId="13225" xr:uid="{45319B5B-1A1D-4AEF-A937-9D6694EB97BD}"/>
    <cellStyle name="Celda de comprobación 3 2" xfId="1242" xr:uid="{00000000-0005-0000-0000-000097000000}"/>
    <cellStyle name="Celda de comprobación 3 2 2" xfId="3353" xr:uid="{580459CD-5222-4C8A-A79D-F275F96E8EA2}"/>
    <cellStyle name="Celda de comprobación 3 2 3" xfId="4659" xr:uid="{A66A57D1-95E3-48ED-B73D-0EC88FE87EAF}"/>
    <cellStyle name="Celda de comprobación 3 2 4" xfId="7873" xr:uid="{23BA4C66-510B-4DFB-A7C4-0AA40D0FA898}"/>
    <cellStyle name="Celda de comprobación 3 3" xfId="1429" xr:uid="{00000000-0005-0000-0000-000098000000}"/>
    <cellStyle name="Celda de comprobación 3 3 2" xfId="3539" xr:uid="{5E6EC616-BD9B-48E9-B454-B0493C4E72C0}"/>
    <cellStyle name="Celda de comprobación 3 3 3" xfId="4845" xr:uid="{FD7B325E-8EF8-44C1-B2E7-A4AB15134F7F}"/>
    <cellStyle name="Celda de comprobación 3 3 4" xfId="8055" xr:uid="{1052BAD7-7C65-44F9-925A-D808E128EA3F}"/>
    <cellStyle name="Celda de comprobación 3 4" xfId="4040" xr:uid="{46EF5C01-B3E4-40E8-8151-97ED5A0269B9}"/>
    <cellStyle name="Celda de comprobación 3 4 2" xfId="6514" xr:uid="{D13B9DCE-B7F1-4FC7-AEE8-09BCB4549BB8}"/>
    <cellStyle name="Celda de comprobación 3 4 3" xfId="9698" xr:uid="{F8348F94-6FD3-4F5B-92CA-2B9ED9BA6818}"/>
    <cellStyle name="Celda de comprobación 3 5" xfId="3114" xr:uid="{809D76DB-EBA4-487D-A02E-BF1BDE21E859}"/>
    <cellStyle name="Celda de comprobación 3 5 2" xfId="6775" xr:uid="{DE6BDD41-258A-4C6E-B861-BB1A228C572A}"/>
    <cellStyle name="Celda de comprobación 3 5 3" xfId="9940" xr:uid="{B84525D4-FA4D-4C15-9D7D-5EC199302C16}"/>
    <cellStyle name="Celda de comprobación 3 6" xfId="7070" xr:uid="{91939127-548F-41E0-AD84-B2977B1E5C1B}"/>
    <cellStyle name="Celda de comprobación 3 6 2" xfId="10213" xr:uid="{73A6668E-A615-41E3-B346-6AC8076BC0EE}"/>
    <cellStyle name="Celda de comprobación 3 7" xfId="7314" xr:uid="{A08E47FE-9E35-4AC6-A74D-76446FE21A78}"/>
    <cellStyle name="Celda de comprobación 3 7 2" xfId="10452" xr:uid="{EDB8F809-6FF8-41DD-B2E8-FEDAF47648E8}"/>
    <cellStyle name="Celda de comprobación 3 8" xfId="7480" xr:uid="{32638CB3-C505-412F-B642-99EF506528B6}"/>
    <cellStyle name="Celda de comprobación 3 8 2" xfId="10614" xr:uid="{D49C7ACF-C4F8-4F52-B852-6BCBD6F48395}"/>
    <cellStyle name="Celda de comprobación 3 9" xfId="4344" xr:uid="{EA2E21CD-602D-4DD2-947B-4A3A7B331647}"/>
    <cellStyle name="Celda de comprobación 4" xfId="164" xr:uid="{00000000-0005-0000-0000-000099000000}"/>
    <cellStyle name="Celda de comprobación 4 10" xfId="10919" xr:uid="{8D59A30C-7F37-4AB2-AC6E-BAA0FF3F66EF}"/>
    <cellStyle name="Celda de comprobación 4 11" xfId="11198" xr:uid="{C27AD3F5-1138-4AE9-B0AA-B94D5183A3FF}"/>
    <cellStyle name="Celda de comprobación 4 12" xfId="11404" xr:uid="{E8213BB0-912F-4853-A248-41ABBE43D7CD}"/>
    <cellStyle name="Celda de comprobación 4 13" xfId="11167" xr:uid="{6A37D8E3-C70D-4497-988C-99F68D7A9158}"/>
    <cellStyle name="Celda de comprobación 4 14" xfId="12586" xr:uid="{DFFB6994-D0AD-4E42-B1F7-09B1ED5AF6B8}"/>
    <cellStyle name="Celda de comprobación 4 15" xfId="12721" xr:uid="{A2490953-7BDB-4CA4-9AFD-B780EFD6E7A1}"/>
    <cellStyle name="Celda de comprobación 4 16" xfId="13224" xr:uid="{7216E410-DF0D-4309-B1B0-7C101A2AF6B1}"/>
    <cellStyle name="Celda de comprobación 4 2" xfId="1243" xr:uid="{00000000-0005-0000-0000-00009A000000}"/>
    <cellStyle name="Celda de comprobación 4 2 2" xfId="3354" xr:uid="{C5B8069B-CF5E-45F4-81D5-21B9151D1783}"/>
    <cellStyle name="Celda de comprobación 4 2 3" xfId="4660" xr:uid="{5A11DE01-2F6F-4054-A87D-E37F586AFE0E}"/>
    <cellStyle name="Celda de comprobación 4 2 4" xfId="7874" xr:uid="{47D13787-036C-4806-868E-5FFF0E1E02A0}"/>
    <cellStyle name="Celda de comprobación 4 3" xfId="1430" xr:uid="{00000000-0005-0000-0000-00009B000000}"/>
    <cellStyle name="Celda de comprobación 4 3 2" xfId="3540" xr:uid="{817B00D0-8E18-4438-850B-98B323CBF47F}"/>
    <cellStyle name="Celda de comprobación 4 3 3" xfId="4846" xr:uid="{1F35DABA-3223-47B7-BF9E-D554BE58055F}"/>
    <cellStyle name="Celda de comprobación 4 3 4" xfId="8056" xr:uid="{99AA138B-236E-4550-B8B1-CB6C5C74DC53}"/>
    <cellStyle name="Celda de comprobación 4 4" xfId="4041" xr:uid="{832F0CF0-ACA1-4877-88EB-6CA6B7821237}"/>
    <cellStyle name="Celda de comprobación 4 4 2" xfId="6515" xr:uid="{98FD4BFA-53C3-4813-9193-0D5E6DD171F0}"/>
    <cellStyle name="Celda de comprobación 4 4 3" xfId="9699" xr:uid="{AB8F213C-424D-418F-AC76-0F6E06C00A02}"/>
    <cellStyle name="Celda de comprobación 4 5" xfId="3115" xr:uid="{FC4D2A39-6270-46CF-AE9E-801FF8A25C50}"/>
    <cellStyle name="Celda de comprobación 4 5 2" xfId="6776" xr:uid="{262BC674-AE9E-4362-97CA-4770BA23B4AD}"/>
    <cellStyle name="Celda de comprobación 4 5 3" xfId="9941" xr:uid="{12CEAC0C-5B4C-47BC-B62E-DB40FA5444F1}"/>
    <cellStyle name="Celda de comprobación 4 6" xfId="7071" xr:uid="{6AF71C22-9CF4-421B-BB52-DA7158BB9796}"/>
    <cellStyle name="Celda de comprobación 4 6 2" xfId="10214" xr:uid="{180C97AA-5AA5-4A77-91EF-B1FEF30463AE}"/>
    <cellStyle name="Celda de comprobación 4 7" xfId="7315" xr:uid="{1CBAE7EF-9D76-4A84-91CE-95F0C3C484F9}"/>
    <cellStyle name="Celda de comprobación 4 7 2" xfId="10453" xr:uid="{7DD59E1D-DB4A-45B3-8EA7-E1BB24CAD733}"/>
    <cellStyle name="Celda de comprobación 4 8" xfId="7479" xr:uid="{C46D9F13-B111-466A-B02E-13BAB53691CC}"/>
    <cellStyle name="Celda de comprobación 4 8 2" xfId="10613" xr:uid="{90E3A692-DE1D-49F3-A2B1-C556AEA26D06}"/>
    <cellStyle name="Celda de comprobación 4 9" xfId="4345" xr:uid="{6EB5F82B-4FA7-484E-BEEE-59750D6ACB54}"/>
    <cellStyle name="Celda de comprobación 5" xfId="165" xr:uid="{00000000-0005-0000-0000-00009C000000}"/>
    <cellStyle name="Celda de comprobación 5 10" xfId="10920" xr:uid="{68A2B493-944B-49DF-B0C1-EE574D27FE99}"/>
    <cellStyle name="Celda de comprobación 5 11" xfId="11199" xr:uid="{71531C69-9015-4E4B-B439-D152B70BEE8A}"/>
    <cellStyle name="Celda de comprobación 5 12" xfId="11403" xr:uid="{579295D0-04F0-4FE2-85A3-7EA1A5822C73}"/>
    <cellStyle name="Celda de comprobación 5 13" xfId="11168" xr:uid="{8C918D61-68F7-4FB2-ACB0-3762EB74E88C}"/>
    <cellStyle name="Celda de comprobación 5 14" xfId="12585" xr:uid="{4C182017-AFB4-456B-9B2B-625BAD3623FF}"/>
    <cellStyle name="Celda de comprobación 5 15" xfId="12720" xr:uid="{CCC8DCD3-6A77-449C-B646-6414453B866B}"/>
    <cellStyle name="Celda de comprobación 5 16" xfId="13223" xr:uid="{08B9CC57-EC43-4FED-9B84-9B5EAB87F5E2}"/>
    <cellStyle name="Celda de comprobación 5 2" xfId="1244" xr:uid="{00000000-0005-0000-0000-00009D000000}"/>
    <cellStyle name="Celda de comprobación 5 2 2" xfId="3355" xr:uid="{02CA3CED-73CD-48DA-8CF7-0CAE09F43051}"/>
    <cellStyle name="Celda de comprobación 5 2 3" xfId="4661" xr:uid="{706C1E99-E17A-4BB0-851E-D153F9758636}"/>
    <cellStyle name="Celda de comprobación 5 2 4" xfId="7875" xr:uid="{A301EFDC-68D7-49CE-BE53-F76764086E22}"/>
    <cellStyle name="Celda de comprobación 5 3" xfId="1431" xr:uid="{00000000-0005-0000-0000-00009E000000}"/>
    <cellStyle name="Celda de comprobación 5 3 2" xfId="3541" xr:uid="{09D88A3E-E7F3-41CA-9234-13EF29553DC0}"/>
    <cellStyle name="Celda de comprobación 5 3 3" xfId="4847" xr:uid="{2CBF14C1-54E0-4DF3-83EF-B7B06FFAC4DE}"/>
    <cellStyle name="Celda de comprobación 5 3 4" xfId="8057" xr:uid="{0A62DBB8-4ED2-4E52-BDC9-CC879BDE1502}"/>
    <cellStyle name="Celda de comprobación 5 4" xfId="4042" xr:uid="{E9FBDF6B-67FD-47BB-BE3B-AA26C05C72BF}"/>
    <cellStyle name="Celda de comprobación 5 4 2" xfId="6516" xr:uid="{5401DC1A-D8BE-46D6-9095-37DFD4DEF5B5}"/>
    <cellStyle name="Celda de comprobación 5 4 3" xfId="9700" xr:uid="{91D58F97-3DF1-4661-B95F-5BEE20691F86}"/>
    <cellStyle name="Celda de comprobación 5 5" xfId="3116" xr:uid="{1F8E2811-3CBA-4E48-BA1E-1CDC8799B239}"/>
    <cellStyle name="Celda de comprobación 5 5 2" xfId="6777" xr:uid="{E71AB4AF-0D7C-4136-B6EE-1DA5AB4DE403}"/>
    <cellStyle name="Celda de comprobación 5 5 3" xfId="9942" xr:uid="{1DE43C52-1998-4AD9-8EEF-37AFE10A0F08}"/>
    <cellStyle name="Celda de comprobación 5 6" xfId="7072" xr:uid="{96C507CE-96E2-4734-B314-2A760C973519}"/>
    <cellStyle name="Celda de comprobación 5 6 2" xfId="10215" xr:uid="{9C158B1F-7C52-4BE5-838E-DC3296C20A7B}"/>
    <cellStyle name="Celda de comprobación 5 7" xfId="7316" xr:uid="{B7E048F2-B599-4EAF-8652-3FC2F9EE6BD5}"/>
    <cellStyle name="Celda de comprobación 5 7 2" xfId="10454" xr:uid="{773E1B01-7542-4745-AE0C-211526A963E6}"/>
    <cellStyle name="Celda de comprobación 5 8" xfId="7478" xr:uid="{972C9039-25E9-41A9-85F3-A036E622EBC9}"/>
    <cellStyle name="Celda de comprobación 5 8 2" xfId="10612" xr:uid="{BB933B1D-93FA-40FD-AA85-51D0D0E02254}"/>
    <cellStyle name="Celda de comprobación 5 9" xfId="4346" xr:uid="{DADA4D71-8843-4E5D-8DC2-36CD11D2865E}"/>
    <cellStyle name="Celda vinculada 2" xfId="166" xr:uid="{00000000-0005-0000-0000-00009F000000}"/>
    <cellStyle name="Celda vinculada 3" xfId="167" xr:uid="{00000000-0005-0000-0000-0000A0000000}"/>
    <cellStyle name="Celda vinculada 4" xfId="168" xr:uid="{00000000-0005-0000-0000-0000A1000000}"/>
    <cellStyle name="Celda vinculada 5" xfId="169" xr:uid="{00000000-0005-0000-0000-0000A2000000}"/>
    <cellStyle name="centsperlb" xfId="170" xr:uid="{00000000-0005-0000-0000-0000A3000000}"/>
    <cellStyle name="centsperlb 10" xfId="4347" xr:uid="{8EE96663-89D6-4982-906D-D41D32ED58AD}"/>
    <cellStyle name="centsperlb 11" xfId="10921" xr:uid="{29DD896C-7F70-46D5-8136-6256D883B8DA}"/>
    <cellStyle name="centsperlb 12" xfId="11402" xr:uid="{503E628A-08F3-4F02-9D28-DD5DF3D3190B}"/>
    <cellStyle name="centsperlb 13" xfId="11813" xr:uid="{2DF9A9D3-EB1A-4CCD-B8BF-B21E2962791F}"/>
    <cellStyle name="centsperlb 14" xfId="12014" xr:uid="{D7E97AB1-BA90-43C0-B183-A8E29BCF49F8}"/>
    <cellStyle name="centsperlb 15" xfId="12313" xr:uid="{66DFC364-03F7-4817-90F7-F2B54CB63EA3}"/>
    <cellStyle name="centsperlb 16" xfId="12584" xr:uid="{3F8FF5D6-8884-49E5-BE4D-763836AD3C14}"/>
    <cellStyle name="centsperlb 17" xfId="12704" xr:uid="{F9DE9CBC-745C-4AD3-8290-861E987A3D8A}"/>
    <cellStyle name="centsperlb 18" xfId="13059" xr:uid="{0E6547E3-C431-40EC-A5BA-6FD11170038E}"/>
    <cellStyle name="centsperlb 19" xfId="13222" xr:uid="{60E8EBE4-A647-49B8-ADCE-4B8C5433A76D}"/>
    <cellStyle name="centsperlb 2" xfId="1245" xr:uid="{00000000-0005-0000-0000-0000A4000000}"/>
    <cellStyle name="centsperlb 2 2" xfId="3356" xr:uid="{D917A4E6-107F-45ED-8C4C-BA2EBEB3DB7B}"/>
    <cellStyle name="centsperlb 2 3" xfId="4662" xr:uid="{152154FC-EF17-413F-9E4A-0F0C494D5A34}"/>
    <cellStyle name="centsperlb 3" xfId="1676" xr:uid="{00000000-0005-0000-0000-0000A5000000}"/>
    <cellStyle name="centsperlb 3 2" xfId="3777" xr:uid="{A1EE94BA-2C20-4DA6-B772-3AD3DB947A1A}"/>
    <cellStyle name="centsperlb 3 3" xfId="5099" xr:uid="{5CFB4CE0-253C-4A01-8E6A-66B0838E02A4}"/>
    <cellStyle name="centsperlb 4" xfId="2193" xr:uid="{21DA0B49-5116-4362-BD2E-275D28694086}"/>
    <cellStyle name="centsperlb 4 2" xfId="6039" xr:uid="{171E6D31-D0D5-4875-BA0F-F87BF8E7C7C9}"/>
    <cellStyle name="centsperlb 5" xfId="2429" xr:uid="{46ED3A6F-09AB-4F33-9072-333D1D4C43D1}"/>
    <cellStyle name="centsperlb 5 2" xfId="6272" xr:uid="{9BD00CE0-C6F5-467F-9559-2A0B430C1761}"/>
    <cellStyle name="centsperlb 6" xfId="2904" xr:uid="{6518B997-50A1-416E-BDCB-A7708EE9548F}"/>
    <cellStyle name="centsperlb 6 2" xfId="6517" xr:uid="{1A25C94C-C392-4309-A7F8-35EC6937C603}"/>
    <cellStyle name="centsperlb 7" xfId="6778" xr:uid="{12A7DEEF-C58C-4221-A248-8B7A5D1D884A}"/>
    <cellStyle name="centsperlb 8" xfId="7073" xr:uid="{499B4CEA-62AA-426B-B1B2-A4F11CB5F535}"/>
    <cellStyle name="centsperlb 9" xfId="7477" xr:uid="{5013204B-651E-4D7A-8BD3-E5B0BF2C8E58}"/>
    <cellStyle name="Check Cell" xfId="171" xr:uid="{00000000-0005-0000-0000-0000A6000000}"/>
    <cellStyle name="Check Cell 10" xfId="10922" xr:uid="{D688A609-1D17-46F7-9B7F-6AE3952D456A}"/>
    <cellStyle name="Check Cell 11" xfId="11205" xr:uid="{71F0F2A0-9389-47F4-8188-324F69AE1E89}"/>
    <cellStyle name="Check Cell 12" xfId="11401" xr:uid="{21BA2D5B-C64C-4026-A4F9-9962A43C2003}"/>
    <cellStyle name="Check Cell 13" xfId="11169" xr:uid="{99AE1DA9-9454-4497-9DBF-B5D2F796D3A9}"/>
    <cellStyle name="Check Cell 14" xfId="12583" xr:uid="{46D27307-4981-40B0-8D1F-3019093550DB}"/>
    <cellStyle name="Check Cell 15" xfId="12703" xr:uid="{76DD7ADD-2B87-4299-B2A0-95B74BA37A36}"/>
    <cellStyle name="Check Cell 16" xfId="13221" xr:uid="{72D0FFCC-9FAA-4E2E-AE5A-DAB29B8A4DE6}"/>
    <cellStyle name="Check Cell 2" xfId="1246" xr:uid="{00000000-0005-0000-0000-0000A7000000}"/>
    <cellStyle name="Check Cell 2 2" xfId="3357" xr:uid="{7748B68E-FAB6-44D3-B0CE-1ED18933B59F}"/>
    <cellStyle name="Check Cell 2 3" xfId="4663" xr:uid="{516082F4-46E8-479D-9BF7-A982AEBA0460}"/>
    <cellStyle name="Check Cell 2 4" xfId="7876" xr:uid="{9B6B7777-B9D3-409A-A88E-714AD3BFB37F}"/>
    <cellStyle name="Check Cell 3" xfId="1432" xr:uid="{00000000-0005-0000-0000-0000A8000000}"/>
    <cellStyle name="Check Cell 3 2" xfId="3542" xr:uid="{69C62912-A183-4FC7-8DB2-1D1093A5644B}"/>
    <cellStyle name="Check Cell 3 3" xfId="4848" xr:uid="{9B7746B8-D926-4BAE-A525-B7E9E35D95AE}"/>
    <cellStyle name="Check Cell 3 4" xfId="8058" xr:uid="{3CCA442D-5559-403F-AAA2-CA71F5FD9133}"/>
    <cellStyle name="Check Cell 4" xfId="4043" xr:uid="{21AD8FD4-DA94-4AA4-A21E-6AF8F8C7B0DF}"/>
    <cellStyle name="Check Cell 4 2" xfId="6518" xr:uid="{59BD5C8D-6791-449B-AA9A-80FA88ADED38}"/>
    <cellStyle name="Check Cell 4 3" xfId="9701" xr:uid="{D219D338-DAF2-46CF-BD9A-2B8DD389D1F3}"/>
    <cellStyle name="Check Cell 5" xfId="3117" xr:uid="{30270FF9-2BAA-4D6E-8077-DB9BEBAB14E7}"/>
    <cellStyle name="Check Cell 5 2" xfId="6779" xr:uid="{D6B09BE5-EB66-4F0F-9BCA-F641CCD9E04F}"/>
    <cellStyle name="Check Cell 5 3" xfId="9943" xr:uid="{842E061F-E949-40F5-9321-5F1DEA9C9447}"/>
    <cellStyle name="Check Cell 6" xfId="7074" xr:uid="{A899422C-8045-40BD-9A61-9F28C6F907FC}"/>
    <cellStyle name="Check Cell 6 2" xfId="10216" xr:uid="{4C6A7639-A99C-4E90-A369-AE82B9FB903B}"/>
    <cellStyle name="Check Cell 7" xfId="7317" xr:uid="{DA5DE6C5-DDCC-42DF-9465-353F342961E9}"/>
    <cellStyle name="Check Cell 7 2" xfId="10455" xr:uid="{7CB273A6-E3EC-4199-A395-96ADA7DFE7C5}"/>
    <cellStyle name="Check Cell 8" xfId="7476" xr:uid="{A56CC7D3-6DBE-4441-BB73-B7FAC9DC964D}"/>
    <cellStyle name="Check Cell 8 2" xfId="10611" xr:uid="{DF93BED6-5C8C-4951-AA77-C5BBB3760289}"/>
    <cellStyle name="Check Cell 9" xfId="4348" xr:uid="{CC211E46-D934-4A93-89FB-05AC12A323F9}"/>
    <cellStyle name="Column Heads" xfId="172" xr:uid="{00000000-0005-0000-0000-0000A9000000}"/>
    <cellStyle name="Column Heads 2" xfId="173" xr:uid="{00000000-0005-0000-0000-0000AA000000}"/>
    <cellStyle name="Column Heads 3" xfId="174" xr:uid="{00000000-0005-0000-0000-0000AB000000}"/>
    <cellStyle name="Column Heads 4" xfId="175" xr:uid="{00000000-0005-0000-0000-0000AC000000}"/>
    <cellStyle name="Column Heads 5" xfId="176" xr:uid="{00000000-0005-0000-0000-0000AD000000}"/>
    <cellStyle name="Column Heads 6" xfId="177" xr:uid="{00000000-0005-0000-0000-0000AE000000}"/>
    <cellStyle name="Comma" xfId="178" xr:uid="{00000000-0005-0000-0000-0000AF000000}"/>
    <cellStyle name="Comma [0]" xfId="179" xr:uid="{00000000-0005-0000-0000-0000B0000000}"/>
    <cellStyle name="Comma [0] 2" xfId="180" xr:uid="{00000000-0005-0000-0000-0000B1000000}"/>
    <cellStyle name="Comma [00]" xfId="181" xr:uid="{00000000-0005-0000-0000-0000B2000000}"/>
    <cellStyle name="Comma [00] 2" xfId="182" xr:uid="{00000000-0005-0000-0000-0000B3000000}"/>
    <cellStyle name="Comma 10" xfId="183" xr:uid="{00000000-0005-0000-0000-0000B4000000}"/>
    <cellStyle name="Comma 11" xfId="184" xr:uid="{00000000-0005-0000-0000-0000B5000000}"/>
    <cellStyle name="Comma 12" xfId="185" xr:uid="{00000000-0005-0000-0000-0000B6000000}"/>
    <cellStyle name="Comma 13" xfId="186" xr:uid="{00000000-0005-0000-0000-0000B7000000}"/>
    <cellStyle name="Comma 14" xfId="187" xr:uid="{00000000-0005-0000-0000-0000B8000000}"/>
    <cellStyle name="Comma 15" xfId="188" xr:uid="{00000000-0005-0000-0000-0000B9000000}"/>
    <cellStyle name="Comma 15 2" xfId="189" xr:uid="{00000000-0005-0000-0000-0000BA000000}"/>
    <cellStyle name="Comma 16" xfId="190" xr:uid="{00000000-0005-0000-0000-0000BB000000}"/>
    <cellStyle name="Comma 17" xfId="191" xr:uid="{00000000-0005-0000-0000-0000BC000000}"/>
    <cellStyle name="Comma 18" xfId="192" xr:uid="{00000000-0005-0000-0000-0000BD000000}"/>
    <cellStyle name="Comma 19" xfId="193" xr:uid="{00000000-0005-0000-0000-0000BE000000}"/>
    <cellStyle name="Comma 2" xfId="194" xr:uid="{00000000-0005-0000-0000-0000BF000000}"/>
    <cellStyle name="Comma 20" xfId="195" xr:uid="{00000000-0005-0000-0000-0000C0000000}"/>
    <cellStyle name="Comma 21" xfId="196" xr:uid="{00000000-0005-0000-0000-0000C1000000}"/>
    <cellStyle name="Comma 22" xfId="197" xr:uid="{00000000-0005-0000-0000-0000C2000000}"/>
    <cellStyle name="Comma 23" xfId="198" xr:uid="{00000000-0005-0000-0000-0000C3000000}"/>
    <cellStyle name="Comma 24" xfId="199" xr:uid="{00000000-0005-0000-0000-0000C4000000}"/>
    <cellStyle name="Comma 25" xfId="200" xr:uid="{00000000-0005-0000-0000-0000C5000000}"/>
    <cellStyle name="Comma 26" xfId="201" xr:uid="{00000000-0005-0000-0000-0000C6000000}"/>
    <cellStyle name="Comma 27" xfId="202" xr:uid="{00000000-0005-0000-0000-0000C7000000}"/>
    <cellStyle name="Comma 28" xfId="203" xr:uid="{00000000-0005-0000-0000-0000C8000000}"/>
    <cellStyle name="Comma 29" xfId="204" xr:uid="{00000000-0005-0000-0000-0000C9000000}"/>
    <cellStyle name="Comma 3" xfId="205" xr:uid="{00000000-0005-0000-0000-0000CA000000}"/>
    <cellStyle name="Comma 30" xfId="206" xr:uid="{00000000-0005-0000-0000-0000CB000000}"/>
    <cellStyle name="Comma 31" xfId="207" xr:uid="{00000000-0005-0000-0000-0000CC000000}"/>
    <cellStyle name="Comma 32" xfId="208" xr:uid="{00000000-0005-0000-0000-0000CD000000}"/>
    <cellStyle name="Comma 33" xfId="209" xr:uid="{00000000-0005-0000-0000-0000CE000000}"/>
    <cellStyle name="Comma 34" xfId="210" xr:uid="{00000000-0005-0000-0000-0000CF000000}"/>
    <cellStyle name="Comma 35" xfId="211" xr:uid="{00000000-0005-0000-0000-0000D0000000}"/>
    <cellStyle name="Comma 36" xfId="212" xr:uid="{00000000-0005-0000-0000-0000D1000000}"/>
    <cellStyle name="Comma 37" xfId="213" xr:uid="{00000000-0005-0000-0000-0000D2000000}"/>
    <cellStyle name="Comma 38" xfId="214" xr:uid="{00000000-0005-0000-0000-0000D3000000}"/>
    <cellStyle name="Comma 39" xfId="215" xr:uid="{00000000-0005-0000-0000-0000D4000000}"/>
    <cellStyle name="Comma 4" xfId="216" xr:uid="{00000000-0005-0000-0000-0000D5000000}"/>
    <cellStyle name="Comma 40" xfId="217" xr:uid="{00000000-0005-0000-0000-0000D6000000}"/>
    <cellStyle name="Comma 41" xfId="218" xr:uid="{00000000-0005-0000-0000-0000D7000000}"/>
    <cellStyle name="Comma 42" xfId="219" xr:uid="{00000000-0005-0000-0000-0000D8000000}"/>
    <cellStyle name="Comma 43" xfId="220" xr:uid="{00000000-0005-0000-0000-0000D9000000}"/>
    <cellStyle name="Comma 44" xfId="221" xr:uid="{00000000-0005-0000-0000-0000DA000000}"/>
    <cellStyle name="Comma 5" xfId="222" xr:uid="{00000000-0005-0000-0000-0000DB000000}"/>
    <cellStyle name="Comma 6" xfId="223" xr:uid="{00000000-0005-0000-0000-0000DC000000}"/>
    <cellStyle name="Comma 7" xfId="224" xr:uid="{00000000-0005-0000-0000-0000DD000000}"/>
    <cellStyle name="Comma 8" xfId="225" xr:uid="{00000000-0005-0000-0000-0000DE000000}"/>
    <cellStyle name="Comma 9" xfId="226" xr:uid="{00000000-0005-0000-0000-0000DF000000}"/>
    <cellStyle name="Comma_#6 Temps &amp; Contractors" xfId="227" xr:uid="{00000000-0005-0000-0000-0000E0000000}"/>
    <cellStyle name="Comma0" xfId="228" xr:uid="{00000000-0005-0000-0000-0000E1000000}"/>
    <cellStyle name="Comma0 - Estilo3" xfId="229" xr:uid="{00000000-0005-0000-0000-0000E2000000}"/>
    <cellStyle name="Comma0 2" xfId="230" xr:uid="{00000000-0005-0000-0000-0000E3000000}"/>
    <cellStyle name="Comma0_2567-BLI-0000-CO-001-Itemizado_Rev C" xfId="231" xr:uid="{00000000-0005-0000-0000-0000E4000000}"/>
    <cellStyle name="Comma1 - Estilo1" xfId="232" xr:uid="{00000000-0005-0000-0000-0000E5000000}"/>
    <cellStyle name="cubial" xfId="233" xr:uid="{00000000-0005-0000-0000-0000E6000000}"/>
    <cellStyle name="cubial 2" xfId="234" xr:uid="{00000000-0005-0000-0000-0000E7000000}"/>
    <cellStyle name="Currency" xfId="235" xr:uid="{00000000-0005-0000-0000-0000E8000000}"/>
    <cellStyle name="Currency [0]" xfId="236" xr:uid="{00000000-0005-0000-0000-0000E9000000}"/>
    <cellStyle name="Currency [0] 2" xfId="237" xr:uid="{00000000-0005-0000-0000-0000EA000000}"/>
    <cellStyle name="Currency [0] 2 2" xfId="238" xr:uid="{00000000-0005-0000-0000-0000EB000000}"/>
    <cellStyle name="Currency [0] 2 2 2" xfId="1678" xr:uid="{00000000-0005-0000-0000-0000EC000000}"/>
    <cellStyle name="Currency [0] 2 2 2 2" xfId="3779" xr:uid="{C1003F34-3166-4B6E-A474-7BC15768E6AF}"/>
    <cellStyle name="Currency [0] 2 2 2 3" xfId="5081" xr:uid="{ACFD1EDB-436A-4D7A-8777-C6505E002711}"/>
    <cellStyle name="Currency [0] 3" xfId="1677" xr:uid="{00000000-0005-0000-0000-0000ED000000}"/>
    <cellStyle name="Currency [0] 3 2" xfId="3778" xr:uid="{36F23149-4231-4A93-BEBA-0D73ED073277}"/>
    <cellStyle name="Currency [0] 3 3" xfId="5080" xr:uid="{846C9F64-424E-460C-86E9-F1C0A520A23F}"/>
    <cellStyle name="Currency [00]" xfId="239" xr:uid="{00000000-0005-0000-0000-0000EE000000}"/>
    <cellStyle name="Currency [3]" xfId="240" xr:uid="{00000000-0005-0000-0000-0000EF000000}"/>
    <cellStyle name="Currency 10" xfId="241" xr:uid="{00000000-0005-0000-0000-0000F0000000}"/>
    <cellStyle name="Currency 10 10" xfId="2905" xr:uid="{41B9E2B0-2ED2-4B80-9178-278A898B9F75}"/>
    <cellStyle name="Currency 10 10 2" xfId="6273" xr:uid="{CD382112-9F86-42C8-A6F0-9E209B388A94}"/>
    <cellStyle name="Currency 10 10 3" xfId="9461" xr:uid="{FB35739E-E3FE-4DF0-92AE-7756729D3CB7}"/>
    <cellStyle name="Currency 10 11" xfId="3118" xr:uid="{8DBDD29E-BAB6-4702-B5F0-B08D89012424}"/>
    <cellStyle name="Currency 10 11 2" xfId="6519" xr:uid="{C840F741-B672-471A-B140-BF647D6AB4C9}"/>
    <cellStyle name="Currency 10 11 3" xfId="9702" xr:uid="{35309399-A86C-4546-B1ED-1984AA8CA20F}"/>
    <cellStyle name="Currency 10 12" xfId="6780" xr:uid="{87613B8C-0D98-4F50-9E26-A3E87610191D}"/>
    <cellStyle name="Currency 10 12 2" xfId="9944" xr:uid="{210C4F1A-359A-4495-89AC-BACBA67DBEB6}"/>
    <cellStyle name="Currency 10 13" xfId="7075" xr:uid="{B760A0EB-DFF6-47AB-B6E9-C261E43B8F89}"/>
    <cellStyle name="Currency 10 13 2" xfId="10217" xr:uid="{1ACA0521-894C-4234-BEDA-A50BF50E87A3}"/>
    <cellStyle name="Currency 10 14" xfId="7318" xr:uid="{7012ADDA-699F-45DA-AA5F-086CA0AC5360}"/>
    <cellStyle name="Currency 10 14 2" xfId="10456" xr:uid="{678C436E-7885-4C09-8DED-EBB92E3799A6}"/>
    <cellStyle name="Currency 10 15" xfId="7460" xr:uid="{1FC2F32B-0ED7-4F8F-9DD7-61EABE4016CC}"/>
    <cellStyle name="Currency 10 15 2" xfId="10595" xr:uid="{C7685D5F-9D6B-48DE-954D-3609267E1BCE}"/>
    <cellStyle name="Currency 10 16" xfId="4349" xr:uid="{DDE91D6A-9F4E-43CE-83C6-35B59B906B1E}"/>
    <cellStyle name="Currency 10 17" xfId="4488" xr:uid="{05306EDF-17F4-4AF4-B4FB-70CDD26FA49D}"/>
    <cellStyle name="Currency 10 18" xfId="10923" xr:uid="{B9D4E6AE-B41C-4EE2-B121-2BED56DC4EEF}"/>
    <cellStyle name="Currency 10 19" xfId="11254" xr:uid="{6D5E1316-DFB5-482B-A1C9-8AED1EDEC956}"/>
    <cellStyle name="Currency 10 2" xfId="242" xr:uid="{00000000-0005-0000-0000-0000F1000000}"/>
    <cellStyle name="Currency 10 2 10" xfId="3119" xr:uid="{14A9CDAD-2D98-4FE3-BFED-B60C49B7FD5C}"/>
    <cellStyle name="Currency 10 2 10 2" xfId="6520" xr:uid="{01A9D29F-73E0-4024-91B2-1547A54A2CFA}"/>
    <cellStyle name="Currency 10 2 10 3" xfId="9703" xr:uid="{2D2739B5-3149-454B-9838-CE7A4D8BDD3F}"/>
    <cellStyle name="Currency 10 2 11" xfId="6781" xr:uid="{31F3DCE7-57ED-4546-BCC6-0A2D0366109E}"/>
    <cellStyle name="Currency 10 2 11 2" xfId="9945" xr:uid="{51FB3566-31B0-4E74-9B75-844EAB4DFAFF}"/>
    <cellStyle name="Currency 10 2 12" xfId="7076" xr:uid="{5D073684-ABAB-4182-9D37-3F9284056D99}"/>
    <cellStyle name="Currency 10 2 12 2" xfId="10218" xr:uid="{BBD3DD09-2F46-4855-97D2-487459CBFBF4}"/>
    <cellStyle name="Currency 10 2 13" xfId="7319" xr:uid="{6D526A53-C7B0-4C01-83D1-7C80D4535CF8}"/>
    <cellStyle name="Currency 10 2 13 2" xfId="10457" xr:uid="{CF7BA521-676B-4BA1-BEDD-FA4306C14904}"/>
    <cellStyle name="Currency 10 2 14" xfId="7459" xr:uid="{A2735938-425F-4578-932E-FE006347C791}"/>
    <cellStyle name="Currency 10 2 14 2" xfId="10594" xr:uid="{8428F7F3-1AE8-49B0-BF28-0E366A2310EE}"/>
    <cellStyle name="Currency 10 2 15" xfId="4350" xr:uid="{84935DF7-01FA-449F-B587-B14DA371BA7D}"/>
    <cellStyle name="Currency 10 2 16" xfId="4487" xr:uid="{7844CCAF-7FBE-4E0C-8B25-FBC314A22726}"/>
    <cellStyle name="Currency 10 2 17" xfId="10924" xr:uid="{C0B0ED3B-E9A7-4999-A712-7297FED9A5AB}"/>
    <cellStyle name="Currency 10 2 18" xfId="11255" xr:uid="{FCFAA802-2E9A-4B43-AE86-BB78475B6BD1}"/>
    <cellStyle name="Currency 10 2 19" xfId="11399" xr:uid="{FB46BCA6-06D7-4D86-ACA9-C2748A143577}"/>
    <cellStyle name="Currency 10 2 2" xfId="1248" xr:uid="{00000000-0005-0000-0000-0000F2000000}"/>
    <cellStyle name="Currency 10 2 2 2" xfId="3359" xr:uid="{553F18E8-3F0A-4DAC-B28A-145D25C8420A}"/>
    <cellStyle name="Currency 10 2 2 3" xfId="4665" xr:uid="{780ACE87-0FC8-4DC8-B671-037F834B6D9F}"/>
    <cellStyle name="Currency 10 2 2 4" xfId="7878" xr:uid="{7B9672DB-DCC4-4D57-AC4F-E3227963CF16}"/>
    <cellStyle name="Currency 10 2 20" xfId="11186" xr:uid="{D9362574-AB15-4CD3-9D77-C50D36B8A975}"/>
    <cellStyle name="Currency 10 2 21" xfId="11815" xr:uid="{64795E71-3C46-4A7F-9EA0-A4BB8AC5D21A}"/>
    <cellStyle name="Currency 10 2 22" xfId="12016" xr:uid="{1DEA6B1D-BA5B-4D5B-AB13-8BFE5EE44944}"/>
    <cellStyle name="Currency 10 2 23" xfId="12366" xr:uid="{9DE13384-512E-4743-B8FF-78A8D704160A}"/>
    <cellStyle name="Currency 10 2 24" xfId="12529" xr:uid="{A3E554B9-FF44-4D75-8986-F5F59D4749B2}"/>
    <cellStyle name="Currency 10 2 25" xfId="12315" xr:uid="{7CE4313A-3733-4D60-AC15-0F91A8335E2F}"/>
    <cellStyle name="Currency 10 2 26" xfId="13061" xr:uid="{5C0E5D15-7C03-4D4F-A2FD-749DAE43A5E1}"/>
    <cellStyle name="Currency 10 2 27" xfId="13204" xr:uid="{D55237B5-F54C-45ED-B8EF-D165DC54A004}"/>
    <cellStyle name="Currency 10 2 3" xfId="1434" xr:uid="{00000000-0005-0000-0000-0000F3000000}"/>
    <cellStyle name="Currency 10 2 3 2" xfId="3544" xr:uid="{6CE6DCFE-AB7C-42E0-8B11-6BD44AE50472}"/>
    <cellStyle name="Currency 10 2 3 3" xfId="4850" xr:uid="{C75E9066-5010-407C-9FCC-FE1A30DE47ED}"/>
    <cellStyle name="Currency 10 2 3 4" xfId="8060" xr:uid="{9C4381EC-18EE-4834-AB41-CB912BE71E86}"/>
    <cellStyle name="Currency 10 2 4" xfId="1680" xr:uid="{00000000-0005-0000-0000-0000F4000000}"/>
    <cellStyle name="Currency 10 2 4 2" xfId="3781" xr:uid="{AF311170-EABD-4992-B609-A287728A4C12}"/>
    <cellStyle name="Currency 10 2 4 3" xfId="5101" xr:uid="{89259478-29F3-4250-828C-57EE77827921}"/>
    <cellStyle name="Currency 10 2 4 4" xfId="8300" xr:uid="{15AAEC8F-DE11-4EE9-B2AC-6C3A25C19161}"/>
    <cellStyle name="Currency 10 2 5" xfId="1940" xr:uid="{00000000-0005-0000-0000-0000F5000000}"/>
    <cellStyle name="Currency 10 2 5 2" xfId="4045" xr:uid="{E2089E17-0E3C-43E2-B587-3CA244756192}"/>
    <cellStyle name="Currency 10 2 5 3" xfId="5344" xr:uid="{272A6053-B2E9-4DA3-AE3B-EE46F1DC471F}"/>
    <cellStyle name="Currency 10 2 5 4" xfId="8536" xr:uid="{AD700849-6201-41FB-9DBA-C6DAAB9E16C5}"/>
    <cellStyle name="Currency 10 2 6" xfId="2195" xr:uid="{D7CB8CE5-BE72-4B25-BBB0-BF0F1FBD19FC}"/>
    <cellStyle name="Currency 10 2 6 2" xfId="5580" xr:uid="{9B8AE454-DB8E-42C7-8908-6EA52BE2EF6E}"/>
    <cellStyle name="Currency 10 2 6 3" xfId="8772" xr:uid="{435A91C9-55E2-4C64-A7DF-ED3072D69D18}"/>
    <cellStyle name="Currency 10 2 7" xfId="2431" xr:uid="{04416E90-D9C3-4FD9-9179-32FCC64D19AC}"/>
    <cellStyle name="Currency 10 2 7 2" xfId="5810" xr:uid="{412E7A71-9973-4FD4-9316-1E27A9C0AF9B}"/>
    <cellStyle name="Currency 10 2 7 3" xfId="9002" xr:uid="{BE5817A5-81D6-4437-A830-7F41DB2073C9}"/>
    <cellStyle name="Currency 10 2 8" xfId="2673" xr:uid="{B9C73542-8A8B-48B6-ADC8-1321F6F89979}"/>
    <cellStyle name="Currency 10 2 8 2" xfId="6041" xr:uid="{41182EED-BE9A-4480-A861-683163BEBEAE}"/>
    <cellStyle name="Currency 10 2 8 3" xfId="9232" xr:uid="{E23A315D-B804-4942-8DC5-AA59BD30DE2E}"/>
    <cellStyle name="Currency 10 2 9" xfId="2906" xr:uid="{83956FCE-3EFD-484D-B9A4-67550A59F1FF}"/>
    <cellStyle name="Currency 10 2 9 2" xfId="6274" xr:uid="{99280BAB-59AC-4CC1-9A82-4214AF8B3267}"/>
    <cellStyle name="Currency 10 2 9 3" xfId="9462" xr:uid="{4EFC2A0B-4146-43AD-B953-6544D5195D56}"/>
    <cellStyle name="Currency 10 20" xfId="11400" xr:uid="{AF5811C5-DB99-4DA5-BDA3-FA9B32DF9DA8}"/>
    <cellStyle name="Currency 10 21" xfId="11185" xr:uid="{BCD4BDB4-DDB3-41A6-8670-03797965BA3F}"/>
    <cellStyle name="Currency 10 22" xfId="11814" xr:uid="{B502DEE4-5236-45C1-80AF-5BAEA83EF7B1}"/>
    <cellStyle name="Currency 10 23" xfId="12015" xr:uid="{A68D5B8B-9076-48E9-BFFB-433790543258}"/>
    <cellStyle name="Currency 10 24" xfId="12365" xr:uid="{3F911A45-FBA7-433E-B067-69AB9D6679BD}"/>
    <cellStyle name="Currency 10 25" xfId="12530" xr:uid="{AA4B31EB-2E76-4DEF-9D9C-E5CB60616FD1}"/>
    <cellStyle name="Currency 10 26" xfId="12314" xr:uid="{86C81F56-2276-473B-AC1A-A07B34E3714F}"/>
    <cellStyle name="Currency 10 27" xfId="13060" xr:uid="{3F6EEAD3-ED1E-4BCB-86A0-6E97CEF05542}"/>
    <cellStyle name="Currency 10 28" xfId="13205" xr:uid="{4AB162B3-09B0-4A5C-AD5C-3EEDA64A5972}"/>
    <cellStyle name="Currency 10 3" xfId="1247" xr:uid="{00000000-0005-0000-0000-0000F6000000}"/>
    <cellStyle name="Currency 10 3 2" xfId="3358" xr:uid="{2171237A-B981-40AD-BA6F-E92C56AA9038}"/>
    <cellStyle name="Currency 10 3 3" xfId="4664" xr:uid="{B39C3D71-21F3-4334-8CAC-ECDEC37EE0A3}"/>
    <cellStyle name="Currency 10 3 4" xfId="7877" xr:uid="{1E0C24FB-DE10-437B-ABB1-8DE62F57F291}"/>
    <cellStyle name="Currency 10 4" xfId="1433" xr:uid="{00000000-0005-0000-0000-0000F7000000}"/>
    <cellStyle name="Currency 10 4 2" xfId="3543" xr:uid="{EDF81C1B-F740-4314-951E-50F3E6FD9DFA}"/>
    <cellStyle name="Currency 10 4 3" xfId="4849" xr:uid="{CB05EFFD-6D9D-4200-A9DA-169EF4E4DAF5}"/>
    <cellStyle name="Currency 10 4 4" xfId="8059" xr:uid="{6E2BF285-6F17-463F-A282-6034E3DC76B1}"/>
    <cellStyle name="Currency 10 5" xfId="1679" xr:uid="{00000000-0005-0000-0000-0000F8000000}"/>
    <cellStyle name="Currency 10 5 2" xfId="3780" xr:uid="{DCD38FE6-C3A1-43D9-8E20-6C586C598103}"/>
    <cellStyle name="Currency 10 5 3" xfId="5100" xr:uid="{94FD1EE9-7724-4AC2-9294-A097A3B60A51}"/>
    <cellStyle name="Currency 10 5 4" xfId="8299" xr:uid="{7B7EB883-E849-4191-8AFF-26DD4C713DC2}"/>
    <cellStyle name="Currency 10 6" xfId="1939" xr:uid="{00000000-0005-0000-0000-0000F9000000}"/>
    <cellStyle name="Currency 10 6 2" xfId="4044" xr:uid="{702E1E12-FB54-4598-94B7-D507597FD7C1}"/>
    <cellStyle name="Currency 10 6 3" xfId="5343" xr:uid="{C88F68EB-DAE0-43E6-8634-26698C30FA07}"/>
    <cellStyle name="Currency 10 6 4" xfId="8535" xr:uid="{B756DF29-CD03-45E9-AB4A-B27AE4BC970B}"/>
    <cellStyle name="Currency 10 7" xfId="2194" xr:uid="{13353A6F-3F1D-40F1-B1FF-8F67EB33A94F}"/>
    <cellStyle name="Currency 10 7 2" xfId="5579" xr:uid="{6613CF4A-356B-4FF0-9CB0-95B765328335}"/>
    <cellStyle name="Currency 10 7 3" xfId="8771" xr:uid="{D5AF5072-D573-4CAC-B26B-981219ED73F3}"/>
    <cellStyle name="Currency 10 8" xfId="2430" xr:uid="{A46F0EBE-0E1C-4FD1-B758-168E79FE81C5}"/>
    <cellStyle name="Currency 10 8 2" xfId="5809" xr:uid="{CE072F37-6EA9-4B81-AC95-8179E8BA6216}"/>
    <cellStyle name="Currency 10 8 3" xfId="9001" xr:uid="{970CCBAD-1E82-421D-88D7-7D3665EAF545}"/>
    <cellStyle name="Currency 10 9" xfId="2672" xr:uid="{B5440F2F-65F9-44B6-BA14-26F59F3BAB95}"/>
    <cellStyle name="Currency 10 9 2" xfId="6040" xr:uid="{D246F43B-38C0-417B-A9AD-9C7457EB4078}"/>
    <cellStyle name="Currency 10 9 3" xfId="9231" xr:uid="{90D30B58-BAB5-4E40-BD43-130C0662F6B4}"/>
    <cellStyle name="Currency 11" xfId="243" xr:uid="{00000000-0005-0000-0000-0000FA000000}"/>
    <cellStyle name="Currency 11 10" xfId="2907" xr:uid="{6A7ECAD0-4AD4-4C59-B885-046DF9F2540C}"/>
    <cellStyle name="Currency 11 10 2" xfId="6275" xr:uid="{9A875C08-C630-485C-8F19-7AE3D45A2467}"/>
    <cellStyle name="Currency 11 10 3" xfId="9463" xr:uid="{6B4465B1-A09A-4085-B1CA-6F231DA87C38}"/>
    <cellStyle name="Currency 11 11" xfId="3120" xr:uid="{36FECB7D-B16A-404D-BB2A-06CD664AB1FC}"/>
    <cellStyle name="Currency 11 11 2" xfId="6521" xr:uid="{2D2A7CAF-1C33-4BD5-8178-13EDE2FBB37E}"/>
    <cellStyle name="Currency 11 11 3" xfId="9704" xr:uid="{B00090DF-8D36-47B5-94F9-2BAA41914992}"/>
    <cellStyle name="Currency 11 12" xfId="6782" xr:uid="{723AF610-2356-46E4-8EEC-D0EF34CC111A}"/>
    <cellStyle name="Currency 11 12 2" xfId="9946" xr:uid="{795B6860-36C8-4855-A280-245A6E79D70E}"/>
    <cellStyle name="Currency 11 13" xfId="7077" xr:uid="{242D9ED4-6979-4979-BAAD-030FC9FCDA46}"/>
    <cellStyle name="Currency 11 13 2" xfId="10219" xr:uid="{4859DA6D-0832-447E-8FDC-2D03454DC1D2}"/>
    <cellStyle name="Currency 11 14" xfId="7320" xr:uid="{C1796EBF-07A9-4CF5-96F9-83B612943691}"/>
    <cellStyle name="Currency 11 14 2" xfId="10458" xr:uid="{98BC2748-88C4-4CE9-A2C5-9A79D04A337B}"/>
    <cellStyle name="Currency 11 15" xfId="7458" xr:uid="{F2D29ED2-D6B5-436C-B5FE-F59BCFC15CBA}"/>
    <cellStyle name="Currency 11 15 2" xfId="10593" xr:uid="{9628AD55-7C2F-48A6-8713-1396663204DB}"/>
    <cellStyle name="Currency 11 16" xfId="4351" xr:uid="{996EE2AD-7407-435D-930F-F6F067CE20E5}"/>
    <cellStyle name="Currency 11 17" xfId="4486" xr:uid="{77A26424-D01D-45DC-8D4F-90EA73A3E800}"/>
    <cellStyle name="Currency 11 18" xfId="10925" xr:uid="{1BF339C3-487F-4601-9600-A12CF199384C}"/>
    <cellStyle name="Currency 11 19" xfId="11256" xr:uid="{1908480E-C8F9-412A-A329-A60EE846F485}"/>
    <cellStyle name="Currency 11 2" xfId="244" xr:uid="{00000000-0005-0000-0000-0000FB000000}"/>
    <cellStyle name="Currency 11 2 10" xfId="3121" xr:uid="{69F602EE-5AC1-46A3-BB7B-0EC914E811D2}"/>
    <cellStyle name="Currency 11 2 10 2" xfId="6522" xr:uid="{D209A30A-20DC-4FCD-8D97-94E6A7F233BB}"/>
    <cellStyle name="Currency 11 2 10 3" xfId="9705" xr:uid="{A9F0B74C-B138-4662-A620-C96AA2FD43F5}"/>
    <cellStyle name="Currency 11 2 11" xfId="6783" xr:uid="{9B659A3E-E9A6-4086-BE03-4D1561C8F6D9}"/>
    <cellStyle name="Currency 11 2 11 2" xfId="9947" xr:uid="{649FF191-745B-4250-9049-1911C24EDB13}"/>
    <cellStyle name="Currency 11 2 12" xfId="7078" xr:uid="{25F6FBA5-A096-4081-AC19-BFB2CC913FFE}"/>
    <cellStyle name="Currency 11 2 12 2" xfId="10220" xr:uid="{2D12862F-5252-47B3-A164-E69C8B658FC3}"/>
    <cellStyle name="Currency 11 2 13" xfId="7321" xr:uid="{3CAC32B9-085A-40B1-9C47-E36177F548E5}"/>
    <cellStyle name="Currency 11 2 13 2" xfId="10459" xr:uid="{BF17D099-F2AD-4159-B9CB-1484C9D4E73E}"/>
    <cellStyle name="Currency 11 2 14" xfId="7457" xr:uid="{7974067C-2EAC-4610-96FE-2F20DC3FC83B}"/>
    <cellStyle name="Currency 11 2 14 2" xfId="10592" xr:uid="{F837440D-7193-4D3D-A1D1-1AE9D6A176D1}"/>
    <cellStyle name="Currency 11 2 15" xfId="4352" xr:uid="{CFDA1442-693E-4406-93CC-E20C157DC82D}"/>
    <cellStyle name="Currency 11 2 16" xfId="4485" xr:uid="{69DB53C4-54F8-48BB-8FD2-1FA457352427}"/>
    <cellStyle name="Currency 11 2 17" xfId="10926" xr:uid="{183393BB-57EE-4E88-B042-0A96E1CF1D35}"/>
    <cellStyle name="Currency 11 2 18" xfId="11257" xr:uid="{2732EC9E-00EE-434F-834D-7A2F255E50E5}"/>
    <cellStyle name="Currency 11 2 19" xfId="11397" xr:uid="{5259EAA6-CE0D-4671-9448-349526F1813D}"/>
    <cellStyle name="Currency 11 2 2" xfId="1250" xr:uid="{00000000-0005-0000-0000-0000FC000000}"/>
    <cellStyle name="Currency 11 2 2 2" xfId="3361" xr:uid="{C47C72AD-7411-436C-ADD8-FBE6851C9425}"/>
    <cellStyle name="Currency 11 2 2 3" xfId="4667" xr:uid="{20F321F8-11EB-4947-BA04-C183A765717D}"/>
    <cellStyle name="Currency 11 2 2 4" xfId="7880" xr:uid="{EC2909F7-9091-4CF7-884D-9C4A161E1034}"/>
    <cellStyle name="Currency 11 2 20" xfId="11188" xr:uid="{CA7C52E2-A7B5-48C1-8519-86F2C26EA67C}"/>
    <cellStyle name="Currency 11 2 21" xfId="11817" xr:uid="{2A208A18-9097-4AAA-9144-3732FAE2118B}"/>
    <cellStyle name="Currency 11 2 22" xfId="12018" xr:uid="{F5F90621-4FA5-4A35-A836-6C1E67B44F28}"/>
    <cellStyle name="Currency 11 2 23" xfId="12368" xr:uid="{7DAF5686-23A8-4DCF-A486-2471A7FC029A}"/>
    <cellStyle name="Currency 11 2 24" xfId="12527" xr:uid="{004F3FE7-1327-4DC4-A59C-FF90C89DA32C}"/>
    <cellStyle name="Currency 11 2 25" xfId="12317" xr:uid="{C6C13C07-C6E1-4E35-A815-33F8093D944C}"/>
    <cellStyle name="Currency 11 2 26" xfId="13063" xr:uid="{074CD157-269D-4ABE-9940-0A169626311A}"/>
    <cellStyle name="Currency 11 2 27" xfId="13202" xr:uid="{CD152DA4-B224-4E61-9D71-0FA8D21A65E9}"/>
    <cellStyle name="Currency 11 2 3" xfId="1436" xr:uid="{00000000-0005-0000-0000-0000FD000000}"/>
    <cellStyle name="Currency 11 2 3 2" xfId="3546" xr:uid="{BFBA2787-AB11-49D8-A038-2CF39A340766}"/>
    <cellStyle name="Currency 11 2 3 3" xfId="4852" xr:uid="{F410526A-278E-47F1-AEFC-9C066B062A5E}"/>
    <cellStyle name="Currency 11 2 3 4" xfId="8062" xr:uid="{70FDB497-3D2E-4606-8E75-93807C9AAB24}"/>
    <cellStyle name="Currency 11 2 4" xfId="1682" xr:uid="{00000000-0005-0000-0000-0000FE000000}"/>
    <cellStyle name="Currency 11 2 4 2" xfId="3783" xr:uid="{9748764B-9070-4447-8DC5-68B7D68247D0}"/>
    <cellStyle name="Currency 11 2 4 3" xfId="5103" xr:uid="{9407962F-7AEC-406E-AB70-FACD3C33C9E6}"/>
    <cellStyle name="Currency 11 2 4 4" xfId="8302" xr:uid="{E7973874-AAA3-4EC4-942A-CE2F30BB93CE}"/>
    <cellStyle name="Currency 11 2 5" xfId="1942" xr:uid="{00000000-0005-0000-0000-0000FF000000}"/>
    <cellStyle name="Currency 11 2 5 2" xfId="4047" xr:uid="{E02648E4-AD13-42C1-8189-80CD32A35339}"/>
    <cellStyle name="Currency 11 2 5 3" xfId="5346" xr:uid="{87F87339-0408-4A5E-BA1E-FEE3F8F08746}"/>
    <cellStyle name="Currency 11 2 5 4" xfId="8538" xr:uid="{FDC2214B-3EF8-4329-AE1E-DB517472C106}"/>
    <cellStyle name="Currency 11 2 6" xfId="2197" xr:uid="{982ECC5A-33C6-4DD5-9DBB-2B72C0D836E1}"/>
    <cellStyle name="Currency 11 2 6 2" xfId="5582" xr:uid="{8CE640F0-7A1E-4E48-A81D-D088BA216B92}"/>
    <cellStyle name="Currency 11 2 6 3" xfId="8774" xr:uid="{684731D0-CA1E-4122-BC09-41D728F4F3E4}"/>
    <cellStyle name="Currency 11 2 7" xfId="2433" xr:uid="{45E90F09-B099-4048-A2E1-56F4D9071BB7}"/>
    <cellStyle name="Currency 11 2 7 2" xfId="5812" xr:uid="{D3901AA0-D76B-4204-9469-A85F30096A06}"/>
    <cellStyle name="Currency 11 2 7 3" xfId="9004" xr:uid="{2E6051E3-212D-4E78-8D30-342234C4C47F}"/>
    <cellStyle name="Currency 11 2 8" xfId="2675" xr:uid="{BD84D519-5A89-42B2-8B5A-08C0EFA00042}"/>
    <cellStyle name="Currency 11 2 8 2" xfId="6043" xr:uid="{69533BCF-6023-4DB6-A2A7-754B2C96685B}"/>
    <cellStyle name="Currency 11 2 8 3" xfId="9234" xr:uid="{A37831AE-6B50-4242-BB42-EE9B898E0B95}"/>
    <cellStyle name="Currency 11 2 9" xfId="2908" xr:uid="{D7994EFF-AF05-4EA2-BC62-453D736A127F}"/>
    <cellStyle name="Currency 11 2 9 2" xfId="6276" xr:uid="{47168FC8-9363-452A-8F9F-35272958A1BC}"/>
    <cellStyle name="Currency 11 2 9 3" xfId="9464" xr:uid="{A5B14592-230C-4E0C-A08E-CC9D1AE812FF}"/>
    <cellStyle name="Currency 11 20" xfId="11398" xr:uid="{14D1A58D-E017-43D5-847D-7A6F5D29743D}"/>
    <cellStyle name="Currency 11 21" xfId="11187" xr:uid="{738DF98B-3848-497C-9185-F9000B897C59}"/>
    <cellStyle name="Currency 11 22" xfId="11816" xr:uid="{3C1287F8-9C88-4654-B6E5-127919159E1A}"/>
    <cellStyle name="Currency 11 23" xfId="12017" xr:uid="{C4A6C907-7628-443B-A14C-F672C0B1788A}"/>
    <cellStyle name="Currency 11 24" xfId="12367" xr:uid="{776E48A9-D091-44AC-AECC-F9919A040044}"/>
    <cellStyle name="Currency 11 25" xfId="12528" xr:uid="{0CD94084-E590-46E1-AE75-F7A1287F1A2A}"/>
    <cellStyle name="Currency 11 26" xfId="12316" xr:uid="{1471D5CD-D58D-44E4-A598-A0D25014B133}"/>
    <cellStyle name="Currency 11 27" xfId="13062" xr:uid="{4CD74218-1408-4527-80CB-CE9A508A471F}"/>
    <cellStyle name="Currency 11 28" xfId="13203" xr:uid="{8E9474E3-56A8-4C8C-91AD-9601AA6CB4AC}"/>
    <cellStyle name="Currency 11 3" xfId="1249" xr:uid="{00000000-0005-0000-0000-000000010000}"/>
    <cellStyle name="Currency 11 3 2" xfId="3360" xr:uid="{9203F297-5A8F-4D11-9992-27095CDD6CA1}"/>
    <cellStyle name="Currency 11 3 3" xfId="4666" xr:uid="{A38FFA6C-D2D6-43B1-86FA-B451BBB1F018}"/>
    <cellStyle name="Currency 11 3 4" xfId="7879" xr:uid="{7547EFDD-2912-43AB-934C-F2E7B7B8C5F4}"/>
    <cellStyle name="Currency 11 4" xfId="1435" xr:uid="{00000000-0005-0000-0000-000001010000}"/>
    <cellStyle name="Currency 11 4 2" xfId="3545" xr:uid="{51D85751-53DB-4E61-9D94-5E28834C06EF}"/>
    <cellStyle name="Currency 11 4 3" xfId="4851" xr:uid="{4ADBED0E-44D5-48C8-AFE4-E3F6ADAEC75E}"/>
    <cellStyle name="Currency 11 4 4" xfId="8061" xr:uid="{9758127A-38E7-47C7-90CB-E45109A49692}"/>
    <cellStyle name="Currency 11 5" xfId="1681" xr:uid="{00000000-0005-0000-0000-000002010000}"/>
    <cellStyle name="Currency 11 5 2" xfId="3782" xr:uid="{5FC466A0-F548-4E04-A6E4-E774F178A772}"/>
    <cellStyle name="Currency 11 5 3" xfId="5102" xr:uid="{17ECD7AB-B2F1-409C-A7CA-5052FE7B0375}"/>
    <cellStyle name="Currency 11 5 4" xfId="8301" xr:uid="{5AA485A1-F054-4A34-B23B-A72D7C4D665D}"/>
    <cellStyle name="Currency 11 6" xfId="1941" xr:uid="{00000000-0005-0000-0000-000003010000}"/>
    <cellStyle name="Currency 11 6 2" xfId="4046" xr:uid="{9CF2586D-02B7-4AAD-9A96-86CE872CFDFA}"/>
    <cellStyle name="Currency 11 6 3" xfId="5345" xr:uid="{49F8F86C-E874-481E-B3AF-9C839A2FEE29}"/>
    <cellStyle name="Currency 11 6 4" xfId="8537" xr:uid="{32055B9C-58EE-4424-BCE1-7F815F1E6E27}"/>
    <cellStyle name="Currency 11 7" xfId="2196" xr:uid="{038F1483-7CA1-4DF6-9113-F076AE606235}"/>
    <cellStyle name="Currency 11 7 2" xfId="5581" xr:uid="{CD34578F-136F-48C3-979A-3549D228D7D9}"/>
    <cellStyle name="Currency 11 7 3" xfId="8773" xr:uid="{24BD75A2-D2DA-4F0F-9CB6-364C6ECDD8CE}"/>
    <cellStyle name="Currency 11 8" xfId="2432" xr:uid="{6D350D53-DA19-4A65-8534-E10EE3776D18}"/>
    <cellStyle name="Currency 11 8 2" xfId="5811" xr:uid="{BB2B9C8B-800D-49C3-8FAA-0B3966D92DA2}"/>
    <cellStyle name="Currency 11 8 3" xfId="9003" xr:uid="{C0B98CCF-FBA8-43EA-852B-4B6A1CEC3C00}"/>
    <cellStyle name="Currency 11 9" xfId="2674" xr:uid="{18E90C8C-A0AD-40FD-A038-EC4B9EF78FE3}"/>
    <cellStyle name="Currency 11 9 2" xfId="6042" xr:uid="{B2D6C024-8CA3-400E-A474-EE0C5EF4B568}"/>
    <cellStyle name="Currency 11 9 3" xfId="9233" xr:uid="{2FA54C1F-95AA-4AF4-B706-72A132B183E3}"/>
    <cellStyle name="Currency 12" xfId="245" xr:uid="{00000000-0005-0000-0000-000004010000}"/>
    <cellStyle name="Currency 12 10" xfId="2909" xr:uid="{115AB22F-80B8-4445-AE36-7A0867FB56EE}"/>
    <cellStyle name="Currency 12 10 2" xfId="6277" xr:uid="{39EC99D9-70BB-4DFD-842F-45C296B135B4}"/>
    <cellStyle name="Currency 12 10 3" xfId="9465" xr:uid="{974A4A30-E432-4C59-AC4E-6981CC24B255}"/>
    <cellStyle name="Currency 12 11" xfId="3122" xr:uid="{22BC764C-A8E8-4152-94AC-3AC655DECD07}"/>
    <cellStyle name="Currency 12 11 2" xfId="6523" xr:uid="{E112AC1B-B6E7-4818-AB1A-A2E8F0E54486}"/>
    <cellStyle name="Currency 12 11 3" xfId="9706" xr:uid="{980BEF0C-D688-4804-87A6-2D57458FBABA}"/>
    <cellStyle name="Currency 12 12" xfId="6784" xr:uid="{4F658D2D-732E-450D-80C8-81559F050C0B}"/>
    <cellStyle name="Currency 12 12 2" xfId="9948" xr:uid="{F3CC2E21-F79E-4DB9-BD83-D93D8C750B3C}"/>
    <cellStyle name="Currency 12 13" xfId="7079" xr:uid="{9D7EA5E7-A8D3-4884-B701-C1D1FC572F9D}"/>
    <cellStyle name="Currency 12 13 2" xfId="10221" xr:uid="{1A343557-4783-43C4-9A3E-C681AEF70F4E}"/>
    <cellStyle name="Currency 12 14" xfId="7322" xr:uid="{AE70588D-9979-4760-8575-2CA566932498}"/>
    <cellStyle name="Currency 12 14 2" xfId="10460" xr:uid="{856A69DF-7BE5-4984-8D35-7F4C0B98914C}"/>
    <cellStyle name="Currency 12 15" xfId="7456" xr:uid="{1DA56ECC-B5C4-420E-8D3D-80EDCF32AB38}"/>
    <cellStyle name="Currency 12 15 2" xfId="10591" xr:uid="{600F3CDE-D4C6-4821-AFE8-57E2361304F4}"/>
    <cellStyle name="Currency 12 16" xfId="4353" xr:uid="{4E00C52D-82C7-41DD-AABD-11F9399F951B}"/>
    <cellStyle name="Currency 12 17" xfId="4484" xr:uid="{A841AE1B-4B0F-404A-8D60-6056058347C1}"/>
    <cellStyle name="Currency 12 18" xfId="10927" xr:uid="{6801C624-0508-47A8-8645-8318F8B60270}"/>
    <cellStyle name="Currency 12 19" xfId="11258" xr:uid="{65184091-9BE8-4EBF-B64D-F5F773935697}"/>
    <cellStyle name="Currency 12 2" xfId="246" xr:uid="{00000000-0005-0000-0000-000005010000}"/>
    <cellStyle name="Currency 12 2 10" xfId="3123" xr:uid="{6758726B-7CA2-4943-9EF8-09B66B8FF494}"/>
    <cellStyle name="Currency 12 2 10 2" xfId="6524" xr:uid="{744526E4-14AC-485C-9EA3-DCDDF9AB54D8}"/>
    <cellStyle name="Currency 12 2 10 3" xfId="9707" xr:uid="{45EFB485-6ACA-4069-BDAA-2D8DDCDE5EC1}"/>
    <cellStyle name="Currency 12 2 11" xfId="6785" xr:uid="{AFB373AD-9810-4A35-9F00-3ADAD122235C}"/>
    <cellStyle name="Currency 12 2 11 2" xfId="9949" xr:uid="{87400240-2C25-492E-B014-03DE28F88C27}"/>
    <cellStyle name="Currency 12 2 12" xfId="7080" xr:uid="{185EED2B-2827-4D7C-847F-5AEF57DE6C0E}"/>
    <cellStyle name="Currency 12 2 12 2" xfId="10222" xr:uid="{529B09DE-97B4-4D06-9CCF-3DA7AA645124}"/>
    <cellStyle name="Currency 12 2 13" xfId="7323" xr:uid="{7DE9E89F-0758-4A13-A306-516B9B3E68CF}"/>
    <cellStyle name="Currency 12 2 13 2" xfId="10461" xr:uid="{AD6E27D6-B3D0-4371-B313-C807528A2CA9}"/>
    <cellStyle name="Currency 12 2 14" xfId="7455" xr:uid="{2C59F49E-4687-4A10-A6A6-7E8452079DCB}"/>
    <cellStyle name="Currency 12 2 14 2" xfId="10590" xr:uid="{DE01B2E6-E682-4F8B-9347-4ED346C9FE30}"/>
    <cellStyle name="Currency 12 2 15" xfId="4354" xr:uid="{5D7BD9A2-8810-4B21-B593-66D4A7320620}"/>
    <cellStyle name="Currency 12 2 16" xfId="4483" xr:uid="{C3CBDBE2-7089-4952-BBDB-9D4959526C80}"/>
    <cellStyle name="Currency 12 2 17" xfId="10928" xr:uid="{33FB7A69-5043-483A-A712-B9362BACA64B}"/>
    <cellStyle name="Currency 12 2 18" xfId="11259" xr:uid="{9F840A7C-372A-4246-959C-B0171D0EB15B}"/>
    <cellStyle name="Currency 12 2 19" xfId="11395" xr:uid="{8BD54419-11A4-4A76-8C28-73AA9673508C}"/>
    <cellStyle name="Currency 12 2 2" xfId="1252" xr:uid="{00000000-0005-0000-0000-000006010000}"/>
    <cellStyle name="Currency 12 2 2 2" xfId="3363" xr:uid="{D0ADF385-542F-44B4-A957-66C66E37D674}"/>
    <cellStyle name="Currency 12 2 2 3" xfId="4669" xr:uid="{5A59855B-76FF-4987-A9FD-99B42BD89091}"/>
    <cellStyle name="Currency 12 2 2 4" xfId="7882" xr:uid="{C98678C8-F386-40A9-AB47-F651C5CE76E2}"/>
    <cellStyle name="Currency 12 2 20" xfId="11190" xr:uid="{3E5B2D9E-DAA4-4808-84D8-B072A2B8339F}"/>
    <cellStyle name="Currency 12 2 21" xfId="11819" xr:uid="{00D31108-2F77-4A5E-8D80-E7E6B8335784}"/>
    <cellStyle name="Currency 12 2 22" xfId="12020" xr:uid="{4077D74B-2898-4C12-AB32-9069100AD62A}"/>
    <cellStyle name="Currency 12 2 23" xfId="12370" xr:uid="{32FC6FCB-ADB9-486C-A707-85425E6F8CF6}"/>
    <cellStyle name="Currency 12 2 24" xfId="12525" xr:uid="{1209DC33-445A-4D13-8F3B-1E35BD29DE8F}"/>
    <cellStyle name="Currency 12 2 25" xfId="12319" xr:uid="{601C3E30-F0E9-40BE-BFF8-65EA644F8FE9}"/>
    <cellStyle name="Currency 12 2 26" xfId="13065" xr:uid="{D361DBB6-1558-4ED5-9DEB-B2D3FB531430}"/>
    <cellStyle name="Currency 12 2 27" xfId="13200" xr:uid="{B2A17115-B986-448A-977D-A84F38D67DCA}"/>
    <cellStyle name="Currency 12 2 3" xfId="1438" xr:uid="{00000000-0005-0000-0000-000007010000}"/>
    <cellStyle name="Currency 12 2 3 2" xfId="3548" xr:uid="{0043A631-85D0-49A8-86B3-A296636F9F82}"/>
    <cellStyle name="Currency 12 2 3 3" xfId="4854" xr:uid="{0BFF65DD-1013-4F0D-B4DA-3877B6F0771B}"/>
    <cellStyle name="Currency 12 2 3 4" xfId="8064" xr:uid="{7FBA491A-A0E1-4A8F-B85D-A19F37B11834}"/>
    <cellStyle name="Currency 12 2 4" xfId="1684" xr:uid="{00000000-0005-0000-0000-000008010000}"/>
    <cellStyle name="Currency 12 2 4 2" xfId="3785" xr:uid="{B3518093-38EC-44D6-A183-A83F66DCEFF2}"/>
    <cellStyle name="Currency 12 2 4 3" xfId="5105" xr:uid="{0220FE27-C140-4FEA-B160-50F7EC25AF6D}"/>
    <cellStyle name="Currency 12 2 4 4" xfId="8304" xr:uid="{69F6D384-EB9A-46E0-A487-33DC9A067FCD}"/>
    <cellStyle name="Currency 12 2 5" xfId="1944" xr:uid="{00000000-0005-0000-0000-000009010000}"/>
    <cellStyle name="Currency 12 2 5 2" xfId="4049" xr:uid="{34294B95-BAA1-4237-96B6-463B0A363E67}"/>
    <cellStyle name="Currency 12 2 5 3" xfId="5348" xr:uid="{3BCEB971-F612-4214-A885-D32C2F6EBA76}"/>
    <cellStyle name="Currency 12 2 5 4" xfId="8540" xr:uid="{AD3C3B1E-7420-4B14-BD2E-FE6E619BA21A}"/>
    <cellStyle name="Currency 12 2 6" xfId="2199" xr:uid="{4832D6B6-52AC-46DB-95AB-F501E96AE384}"/>
    <cellStyle name="Currency 12 2 6 2" xfId="5584" xr:uid="{B465105A-DE12-448A-A496-4CC77D8E350A}"/>
    <cellStyle name="Currency 12 2 6 3" xfId="8776" xr:uid="{D697975B-A384-4CF3-AC5E-426C8B7D9E82}"/>
    <cellStyle name="Currency 12 2 7" xfId="2435" xr:uid="{7D59E242-ED95-4BC3-8BAA-E209D33C51B3}"/>
    <cellStyle name="Currency 12 2 7 2" xfId="5814" xr:uid="{D03EB338-08E6-44F3-B840-9D82E76F865D}"/>
    <cellStyle name="Currency 12 2 7 3" xfId="9006" xr:uid="{3F475173-4215-4453-A781-BC13C2203BCD}"/>
    <cellStyle name="Currency 12 2 8" xfId="2677" xr:uid="{27CA189C-F07B-4C63-AC70-AEEB77EAE421}"/>
    <cellStyle name="Currency 12 2 8 2" xfId="6045" xr:uid="{5959563E-EDB2-4289-803E-217688AB78B3}"/>
    <cellStyle name="Currency 12 2 8 3" xfId="9236" xr:uid="{84691324-73FA-4C19-A010-EE1B1C0EABBA}"/>
    <cellStyle name="Currency 12 2 9" xfId="2910" xr:uid="{1CBBF940-7478-408E-BED9-B9D0BE6533F6}"/>
    <cellStyle name="Currency 12 2 9 2" xfId="6278" xr:uid="{486403A3-CC26-4FA5-8B59-A9C7DDF3D799}"/>
    <cellStyle name="Currency 12 2 9 3" xfId="9466" xr:uid="{586EF8D9-E0B3-4032-BBFC-5081DCECEE46}"/>
    <cellStyle name="Currency 12 20" xfId="11396" xr:uid="{8C3D65F0-A9AA-4C3E-A386-C21EAA44D812}"/>
    <cellStyle name="Currency 12 21" xfId="11189" xr:uid="{BE7A2D8C-A80E-4064-9395-D36C79184402}"/>
    <cellStyle name="Currency 12 22" xfId="11818" xr:uid="{50F4982E-288C-430F-A86D-CF2E72611DE8}"/>
    <cellStyle name="Currency 12 23" xfId="12019" xr:uid="{53AF9A27-C66B-487B-AA59-53E8E3132243}"/>
    <cellStyle name="Currency 12 24" xfId="12369" xr:uid="{92B3DA8D-13A3-4699-9E78-C83DEA74E24A}"/>
    <cellStyle name="Currency 12 25" xfId="12526" xr:uid="{4F67B0E8-8510-4D0B-990C-623AEF6B85A5}"/>
    <cellStyle name="Currency 12 26" xfId="12318" xr:uid="{67C6E6FE-657E-4D7F-AF1C-E3B3374D1031}"/>
    <cellStyle name="Currency 12 27" xfId="13064" xr:uid="{3A2E76A8-F432-40E8-B7F6-699E9C614052}"/>
    <cellStyle name="Currency 12 28" xfId="13201" xr:uid="{F7650305-F741-4640-AD68-536F2C18D1F3}"/>
    <cellStyle name="Currency 12 3" xfId="1251" xr:uid="{00000000-0005-0000-0000-00000A010000}"/>
    <cellStyle name="Currency 12 3 2" xfId="3362" xr:uid="{DC001A14-FA19-43EF-A902-488D8F0253CE}"/>
    <cellStyle name="Currency 12 3 3" xfId="4668" xr:uid="{CD4A9AD1-5AB1-4ACB-8F31-D50BC9FCD210}"/>
    <cellStyle name="Currency 12 3 4" xfId="7881" xr:uid="{8F8EA68D-9149-4218-ABAC-54E6F28337AE}"/>
    <cellStyle name="Currency 12 4" xfId="1437" xr:uid="{00000000-0005-0000-0000-00000B010000}"/>
    <cellStyle name="Currency 12 4 2" xfId="3547" xr:uid="{E0B8F1E9-6F69-4F07-8098-613B3B48C0FF}"/>
    <cellStyle name="Currency 12 4 3" xfId="4853" xr:uid="{FC83FB33-F4E2-43EF-941D-F18BBAF9E8A1}"/>
    <cellStyle name="Currency 12 4 4" xfId="8063" xr:uid="{3B355C37-1339-46BD-B831-8CEB36721EC9}"/>
    <cellStyle name="Currency 12 5" xfId="1683" xr:uid="{00000000-0005-0000-0000-00000C010000}"/>
    <cellStyle name="Currency 12 5 2" xfId="3784" xr:uid="{DB3FA969-657A-4505-B72A-9756486A4EEE}"/>
    <cellStyle name="Currency 12 5 3" xfId="5104" xr:uid="{4CD6C87E-66FE-4A34-BAEC-F3AED5E1E6DD}"/>
    <cellStyle name="Currency 12 5 4" xfId="8303" xr:uid="{3C2058E7-34B2-4D48-9B7F-62BACF9FF22D}"/>
    <cellStyle name="Currency 12 6" xfId="1943" xr:uid="{00000000-0005-0000-0000-00000D010000}"/>
    <cellStyle name="Currency 12 6 2" xfId="4048" xr:uid="{8281263B-E901-4200-A950-CF09EEEE5CAB}"/>
    <cellStyle name="Currency 12 6 3" xfId="5347" xr:uid="{6997E6A1-91B7-4DB5-94E1-13056609039D}"/>
    <cellStyle name="Currency 12 6 4" xfId="8539" xr:uid="{33D389EB-5051-4B8F-8E07-8908A8CB0BD6}"/>
    <cellStyle name="Currency 12 7" xfId="2198" xr:uid="{215CB54E-69CE-4E4C-BCCB-9AB36902EA5C}"/>
    <cellStyle name="Currency 12 7 2" xfId="5583" xr:uid="{608B656C-0EF0-4520-AC80-71438681D353}"/>
    <cellStyle name="Currency 12 7 3" xfId="8775" xr:uid="{A345259E-27E0-4AB4-B49C-7E0864CE0337}"/>
    <cellStyle name="Currency 12 8" xfId="2434" xr:uid="{BC1B8628-E672-4C64-B5C8-DDA869DC56B0}"/>
    <cellStyle name="Currency 12 8 2" xfId="5813" xr:uid="{B41F9922-4183-401B-81B6-A2C6925379A2}"/>
    <cellStyle name="Currency 12 8 3" xfId="9005" xr:uid="{A6CA502D-DB0C-4E1B-BF7D-E2776F1B5DF7}"/>
    <cellStyle name="Currency 12 9" xfId="2676" xr:uid="{DE165175-97FB-44FE-97EF-5360180E8583}"/>
    <cellStyle name="Currency 12 9 2" xfId="6044" xr:uid="{9864CAAD-5CA5-4B24-87F0-AFAA264A3683}"/>
    <cellStyle name="Currency 12 9 3" xfId="9235" xr:uid="{CA0267A7-5641-4CC5-97FC-5CD71DD9BA77}"/>
    <cellStyle name="Currency 13" xfId="247" xr:uid="{00000000-0005-0000-0000-00000E010000}"/>
    <cellStyle name="Currency 13 10" xfId="2911" xr:uid="{25B6B66F-9FE7-4D4C-9525-D0C3B02734C8}"/>
    <cellStyle name="Currency 13 10 2" xfId="6279" xr:uid="{223C2A4D-4010-4E05-B530-A7CE32FE1DD2}"/>
    <cellStyle name="Currency 13 10 3" xfId="9467" xr:uid="{1E88BA6F-6291-47A1-B750-4CF1C3FCD868}"/>
    <cellStyle name="Currency 13 11" xfId="3124" xr:uid="{85D9C869-3678-40B2-9B31-4F93106F160A}"/>
    <cellStyle name="Currency 13 11 2" xfId="6525" xr:uid="{6C96F5D5-CD32-4656-AE3A-9945773DC68F}"/>
    <cellStyle name="Currency 13 11 3" xfId="9708" xr:uid="{FE520BC3-F02F-4FF2-BB33-81034511FCA2}"/>
    <cellStyle name="Currency 13 12" xfId="6786" xr:uid="{4F1FFAB9-74A5-49FF-B408-2700D55AC0F5}"/>
    <cellStyle name="Currency 13 12 2" xfId="9950" xr:uid="{DA682FB3-ED4A-4262-9D78-9650D08ACAFD}"/>
    <cellStyle name="Currency 13 13" xfId="7081" xr:uid="{BEB0377C-491C-4435-BB4E-8BBB727FACCE}"/>
    <cellStyle name="Currency 13 13 2" xfId="10223" xr:uid="{CC5B3FF4-6207-43F8-B7FB-A1873A548EFA}"/>
    <cellStyle name="Currency 13 14" xfId="7324" xr:uid="{6A8AA6E3-4097-4DF7-A2CB-8DA7F450A85A}"/>
    <cellStyle name="Currency 13 14 2" xfId="10462" xr:uid="{7F6EEF3A-56C4-44DF-A3D3-AC6191CF31A6}"/>
    <cellStyle name="Currency 13 15" xfId="7454" xr:uid="{C2888345-F4A5-4812-B7F3-576C70DEDE3C}"/>
    <cellStyle name="Currency 13 15 2" xfId="10589" xr:uid="{B8CBDDE2-81FE-406D-AACC-A2DBB0E9D370}"/>
    <cellStyle name="Currency 13 16" xfId="4355" xr:uid="{0FEB6EE2-120A-4D5C-ABA0-47A9C9BECF67}"/>
    <cellStyle name="Currency 13 17" xfId="4482" xr:uid="{86F707D0-8548-4DA7-8023-754140464D69}"/>
    <cellStyle name="Currency 13 18" xfId="10929" xr:uid="{978A3F80-7012-4FFA-B909-DBD7523ED39E}"/>
    <cellStyle name="Currency 13 19" xfId="11260" xr:uid="{333D307A-A195-46BF-88F2-3BE359AB6F8C}"/>
    <cellStyle name="Currency 13 2" xfId="248" xr:uid="{00000000-0005-0000-0000-00000F010000}"/>
    <cellStyle name="Currency 13 2 10" xfId="3125" xr:uid="{6E6AAD8C-8B31-43A7-8E5F-3BDAC69E66A2}"/>
    <cellStyle name="Currency 13 2 10 2" xfId="6526" xr:uid="{C084CC68-FC34-43CC-BEBA-18AC9E54D204}"/>
    <cellStyle name="Currency 13 2 10 3" xfId="9709" xr:uid="{A439F4DF-7591-4407-B298-B05197DEDD4E}"/>
    <cellStyle name="Currency 13 2 11" xfId="6787" xr:uid="{D45C96AD-04A8-4E58-9CB3-386BA6EE3E73}"/>
    <cellStyle name="Currency 13 2 11 2" xfId="9951" xr:uid="{9538B96A-2E67-43E3-90F6-2F6AA64859D4}"/>
    <cellStyle name="Currency 13 2 12" xfId="7082" xr:uid="{5493204B-3930-4291-8661-90EFFC3629AB}"/>
    <cellStyle name="Currency 13 2 12 2" xfId="10224" xr:uid="{591AA8FB-2A46-481B-B42C-07D1047DFD02}"/>
    <cellStyle name="Currency 13 2 13" xfId="7325" xr:uid="{1FE2D9D5-AD43-4632-9F4A-7C354A05C376}"/>
    <cellStyle name="Currency 13 2 13 2" xfId="10463" xr:uid="{A44C42BF-4A04-4873-A510-FF7D06C13FB1}"/>
    <cellStyle name="Currency 13 2 14" xfId="7453" xr:uid="{0D26A91A-53CE-469D-BBBB-8AB2A09E413B}"/>
    <cellStyle name="Currency 13 2 14 2" xfId="10588" xr:uid="{D79C12D4-097E-4408-9CF3-7C0660CF7BA6}"/>
    <cellStyle name="Currency 13 2 15" xfId="4356" xr:uid="{68937D7E-6D75-4B40-B8EB-0DB1ADEB2B33}"/>
    <cellStyle name="Currency 13 2 16" xfId="4481" xr:uid="{5DC6075A-4B52-4FA7-8B97-65C0A6F1142A}"/>
    <cellStyle name="Currency 13 2 17" xfId="10930" xr:uid="{97BC0ACF-CF8C-406E-92A6-BC8E99CC55B4}"/>
    <cellStyle name="Currency 13 2 18" xfId="11261" xr:uid="{0B3A8619-368D-4365-AF93-A9B36CB87B2B}"/>
    <cellStyle name="Currency 13 2 19" xfId="11393" xr:uid="{6BB75CA1-69FC-4468-8FA7-E676E45F8010}"/>
    <cellStyle name="Currency 13 2 2" xfId="1254" xr:uid="{00000000-0005-0000-0000-000010010000}"/>
    <cellStyle name="Currency 13 2 2 2" xfId="3365" xr:uid="{EE6B2075-0BB6-4F95-B8F7-84C14577C266}"/>
    <cellStyle name="Currency 13 2 2 3" xfId="4671" xr:uid="{2281B173-0F47-4DDD-8FB3-26F1CA34479E}"/>
    <cellStyle name="Currency 13 2 2 4" xfId="7884" xr:uid="{296DD4DD-7CF8-4E51-953B-99ED62A82785}"/>
    <cellStyle name="Currency 13 2 20" xfId="11201" xr:uid="{88F0A35E-0869-473C-9002-260F8B862844}"/>
    <cellStyle name="Currency 13 2 21" xfId="11821" xr:uid="{A13D6CE3-9A33-4819-BC03-67B584039633}"/>
    <cellStyle name="Currency 13 2 22" xfId="12022" xr:uid="{18F9ABF4-208A-462B-B210-4F48D134B549}"/>
    <cellStyle name="Currency 13 2 23" xfId="12372" xr:uid="{83FB3239-AB54-4ADA-AD95-757F915D700B}"/>
    <cellStyle name="Currency 13 2 24" xfId="12523" xr:uid="{479ED33D-D49E-4B1A-938D-23E80D768110}"/>
    <cellStyle name="Currency 13 2 25" xfId="12321" xr:uid="{3240245E-6754-4934-99C4-D3CA7AFB878B}"/>
    <cellStyle name="Currency 13 2 26" xfId="13067" xr:uid="{140C7E32-ECF9-477A-8236-EEA04D2D402F}"/>
    <cellStyle name="Currency 13 2 27" xfId="13198" xr:uid="{49C85800-9C58-4077-881B-2A0AAF352787}"/>
    <cellStyle name="Currency 13 2 3" xfId="1440" xr:uid="{00000000-0005-0000-0000-000011010000}"/>
    <cellStyle name="Currency 13 2 3 2" xfId="3550" xr:uid="{410EB31C-EEF5-49D3-9E21-60F00E4F5B4C}"/>
    <cellStyle name="Currency 13 2 3 3" xfId="4856" xr:uid="{4F14A4A9-6F81-4443-B67F-CA508B494CBC}"/>
    <cellStyle name="Currency 13 2 3 4" xfId="8066" xr:uid="{5A3011EA-B16F-4BAF-BCEE-E17899D64FDC}"/>
    <cellStyle name="Currency 13 2 4" xfId="1686" xr:uid="{00000000-0005-0000-0000-000012010000}"/>
    <cellStyle name="Currency 13 2 4 2" xfId="3787" xr:uid="{00C4E5EE-7E49-4F42-A0B1-B493DE97C659}"/>
    <cellStyle name="Currency 13 2 4 3" xfId="5107" xr:uid="{74EFC8C6-B8F9-4827-A5DE-FC14F84B8E63}"/>
    <cellStyle name="Currency 13 2 4 4" xfId="8306" xr:uid="{AFEFF478-B342-40E1-BA43-A1D915692154}"/>
    <cellStyle name="Currency 13 2 5" xfId="1946" xr:uid="{00000000-0005-0000-0000-000013010000}"/>
    <cellStyle name="Currency 13 2 5 2" xfId="4051" xr:uid="{37921D16-EF12-43B6-90FA-27511754967B}"/>
    <cellStyle name="Currency 13 2 5 3" xfId="5350" xr:uid="{94AA32F6-199B-45FF-90A3-4FC80144ADAB}"/>
    <cellStyle name="Currency 13 2 5 4" xfId="8542" xr:uid="{BD49C748-586C-4783-8B8B-3D9CC237C7BF}"/>
    <cellStyle name="Currency 13 2 6" xfId="2201" xr:uid="{670D84A5-2EEA-4C8D-92E6-0BD47F31EA75}"/>
    <cellStyle name="Currency 13 2 6 2" xfId="5586" xr:uid="{70975AEA-A543-46BC-9C0B-39C69ADFFCB4}"/>
    <cellStyle name="Currency 13 2 6 3" xfId="8778" xr:uid="{78FCFEC8-FBA4-41C1-9D11-F778183A83F2}"/>
    <cellStyle name="Currency 13 2 7" xfId="2437" xr:uid="{C04E99F7-82EB-4E2B-9F26-DDE39CAF6B18}"/>
    <cellStyle name="Currency 13 2 7 2" xfId="5816" xr:uid="{D62C0A9A-05CC-4E90-85A4-626F35030459}"/>
    <cellStyle name="Currency 13 2 7 3" xfId="9008" xr:uid="{F884ED3F-1987-451C-AAD3-21D36D2E8859}"/>
    <cellStyle name="Currency 13 2 8" xfId="2679" xr:uid="{DE382F16-64FE-4194-B896-5952295FAC7F}"/>
    <cellStyle name="Currency 13 2 8 2" xfId="6047" xr:uid="{D59B35C6-416F-4DB3-BD1F-135BDB9B02C1}"/>
    <cellStyle name="Currency 13 2 8 3" xfId="9238" xr:uid="{54B2DDB6-0F31-4226-A055-3614C9F34F44}"/>
    <cellStyle name="Currency 13 2 9" xfId="2912" xr:uid="{B65B2300-0717-4C11-8F08-99336D3163C4}"/>
    <cellStyle name="Currency 13 2 9 2" xfId="6280" xr:uid="{6397DCCC-7F1F-439A-B6AD-DD03D78B7239}"/>
    <cellStyle name="Currency 13 2 9 3" xfId="9468" xr:uid="{F6ED1FC2-593B-49A1-84A6-18A71C0B9CB1}"/>
    <cellStyle name="Currency 13 20" xfId="11394" xr:uid="{57A11B1D-64B8-4C51-A378-DE36B28D4F76}"/>
    <cellStyle name="Currency 13 21" xfId="11200" xr:uid="{BC4EA6DF-9E61-411D-8A5B-353397B66E9D}"/>
    <cellStyle name="Currency 13 22" xfId="11820" xr:uid="{8092BFB5-5C59-42F2-9CDE-C103D3E361BF}"/>
    <cellStyle name="Currency 13 23" xfId="12021" xr:uid="{6BFD9347-957C-4AAC-A402-36E1EDE387D1}"/>
    <cellStyle name="Currency 13 24" xfId="12371" xr:uid="{AB159545-91CC-4F80-B01E-384E6A51D1C4}"/>
    <cellStyle name="Currency 13 25" xfId="12524" xr:uid="{E2B8B508-9458-4958-B084-9ADF7E661623}"/>
    <cellStyle name="Currency 13 26" xfId="12320" xr:uid="{EF4E93A7-EADE-4EC8-8A20-4517AEEA94B8}"/>
    <cellStyle name="Currency 13 27" xfId="13066" xr:uid="{6F008EA5-3235-4BF1-8A1F-B1028B8B53A2}"/>
    <cellStyle name="Currency 13 28" xfId="13199" xr:uid="{7804DA41-0A25-46B1-BC88-CDB3587CC043}"/>
    <cellStyle name="Currency 13 3" xfId="1253" xr:uid="{00000000-0005-0000-0000-000014010000}"/>
    <cellStyle name="Currency 13 3 2" xfId="3364" xr:uid="{80A85C3D-8678-4FA3-98DC-1BAA87CDD497}"/>
    <cellStyle name="Currency 13 3 3" xfId="4670" xr:uid="{506BDC6D-9A92-4949-9AB5-F96D61D7D0F8}"/>
    <cellStyle name="Currency 13 3 4" xfId="7883" xr:uid="{C4642A28-4DD8-4E1E-8E9E-002AC2E3B610}"/>
    <cellStyle name="Currency 13 4" xfId="1439" xr:uid="{00000000-0005-0000-0000-000015010000}"/>
    <cellStyle name="Currency 13 4 2" xfId="3549" xr:uid="{F82CF3AC-FD58-47D5-BF6B-0F23B9A5F1B8}"/>
    <cellStyle name="Currency 13 4 3" xfId="4855" xr:uid="{9B656643-9110-4A30-841D-50EE4EF3650F}"/>
    <cellStyle name="Currency 13 4 4" xfId="8065" xr:uid="{92DEC04C-E73B-48A6-A753-D120C11EA4E5}"/>
    <cellStyle name="Currency 13 5" xfId="1685" xr:uid="{00000000-0005-0000-0000-000016010000}"/>
    <cellStyle name="Currency 13 5 2" xfId="3786" xr:uid="{72465144-6D29-4700-AEA5-9BFC1DAD6C5E}"/>
    <cellStyle name="Currency 13 5 3" xfId="5106" xr:uid="{A4796088-35B4-46C5-8C93-F2BB757ADB89}"/>
    <cellStyle name="Currency 13 5 4" xfId="8305" xr:uid="{35D4795C-73F9-445B-8E7B-42F5E4C68CE0}"/>
    <cellStyle name="Currency 13 6" xfId="1945" xr:uid="{00000000-0005-0000-0000-000017010000}"/>
    <cellStyle name="Currency 13 6 2" xfId="4050" xr:uid="{2163D5D3-498B-4ECA-BC71-CC5CB8E6FA55}"/>
    <cellStyle name="Currency 13 6 3" xfId="5349" xr:uid="{8A5917D4-54DA-4584-AB7A-063E572EFA26}"/>
    <cellStyle name="Currency 13 6 4" xfId="8541" xr:uid="{9114BE1B-D1E0-4674-BFD6-7ECE0EA7D37C}"/>
    <cellStyle name="Currency 13 7" xfId="2200" xr:uid="{A853BD81-9F5B-4379-AA80-5D36FB6908DA}"/>
    <cellStyle name="Currency 13 7 2" xfId="5585" xr:uid="{785BFD65-BB60-4800-8AEF-AD661BBA4D60}"/>
    <cellStyle name="Currency 13 7 3" xfId="8777" xr:uid="{F4079EA9-F66C-4AA7-929D-E8BD78746C6C}"/>
    <cellStyle name="Currency 13 8" xfId="2436" xr:uid="{901B62F1-41F3-496E-8BCE-5BEFC370583E}"/>
    <cellStyle name="Currency 13 8 2" xfId="5815" xr:uid="{1488A304-D3CB-48EE-8D1E-BEAA3D7E870C}"/>
    <cellStyle name="Currency 13 8 3" xfId="9007" xr:uid="{70C2ABA3-84DF-4FA2-93FC-7F1A972D5C77}"/>
    <cellStyle name="Currency 13 9" xfId="2678" xr:uid="{EC808FE0-CBB3-4D96-B114-32A76E482229}"/>
    <cellStyle name="Currency 13 9 2" xfId="6046" xr:uid="{AAFD91F6-0C90-4F21-8586-855A385F5D99}"/>
    <cellStyle name="Currency 13 9 3" xfId="9237" xr:uid="{D5A9B2AB-3E2C-4412-BD5B-332D150D0EF6}"/>
    <cellStyle name="Currency 14" xfId="249" xr:uid="{00000000-0005-0000-0000-000018010000}"/>
    <cellStyle name="Currency 14 10" xfId="2913" xr:uid="{286D0918-7B6E-47BC-ADA5-FC52C3EB0D04}"/>
    <cellStyle name="Currency 14 10 2" xfId="6281" xr:uid="{1C820371-09C8-46E7-873D-2A0B2B02B94D}"/>
    <cellStyle name="Currency 14 10 3" xfId="9469" xr:uid="{DE59470C-E0D5-499E-807B-548AF2193932}"/>
    <cellStyle name="Currency 14 11" xfId="3126" xr:uid="{AD040666-971E-4E1A-86DD-27E606B46EEA}"/>
    <cellStyle name="Currency 14 11 2" xfId="6527" xr:uid="{511669CB-06B2-44C8-ACE1-7BD1BF693AA8}"/>
    <cellStyle name="Currency 14 11 3" xfId="9710" xr:uid="{BCBEAECC-F346-4939-87DE-8D88DABCF4D0}"/>
    <cellStyle name="Currency 14 12" xfId="6788" xr:uid="{850F730B-C0AE-4DE1-9CFD-97249F7D0B15}"/>
    <cellStyle name="Currency 14 12 2" xfId="9952" xr:uid="{05F20289-BD4B-48FD-B203-50516E34F1D4}"/>
    <cellStyle name="Currency 14 13" xfId="7083" xr:uid="{C1C21C3B-0E3E-4F1F-B5CD-56D869AE0404}"/>
    <cellStyle name="Currency 14 13 2" xfId="10225" xr:uid="{583E4A1F-3F4C-4D8A-A1BC-B53FB9ED1241}"/>
    <cellStyle name="Currency 14 14" xfId="7326" xr:uid="{7A86D3CB-EC8B-4988-B961-458180F38762}"/>
    <cellStyle name="Currency 14 14 2" xfId="10464" xr:uid="{1B2DF4EE-3FB2-42CB-B2A2-7CFFFBD29756}"/>
    <cellStyle name="Currency 14 15" xfId="7452" xr:uid="{33B3D06F-53E0-4B9B-9CAB-CCB22A416DD1}"/>
    <cellStyle name="Currency 14 15 2" xfId="10587" xr:uid="{ECD713F7-1DEB-4227-AF7D-64FA6EA2AC04}"/>
    <cellStyle name="Currency 14 16" xfId="4357" xr:uid="{0C80036E-E235-417C-9574-125CEB41539D}"/>
    <cellStyle name="Currency 14 17" xfId="4480" xr:uid="{E7A8239C-227F-4B6D-B01F-5C4CED79997D}"/>
    <cellStyle name="Currency 14 18" xfId="10931" xr:uid="{609A33FA-1029-45BD-B56C-E8F83465BD3E}"/>
    <cellStyle name="Currency 14 19" xfId="11262" xr:uid="{67C75E73-5D93-47CA-9CD4-5228828C5717}"/>
    <cellStyle name="Currency 14 2" xfId="250" xr:uid="{00000000-0005-0000-0000-000019010000}"/>
    <cellStyle name="Currency 14 2 10" xfId="3127" xr:uid="{0B5DB373-A7EE-435A-8645-4AB90B19C05B}"/>
    <cellStyle name="Currency 14 2 10 2" xfId="6528" xr:uid="{0D4B5A61-0CFC-41A2-B053-8A058D482D4B}"/>
    <cellStyle name="Currency 14 2 10 3" xfId="9711" xr:uid="{26CEF11F-90EB-4493-BC72-70B251D04AF8}"/>
    <cellStyle name="Currency 14 2 11" xfId="6789" xr:uid="{0ABB5AED-392C-487E-BE33-220ABB62F1FE}"/>
    <cellStyle name="Currency 14 2 11 2" xfId="9953" xr:uid="{2F1B1FB8-5F8B-4141-995D-DB942D13BDF9}"/>
    <cellStyle name="Currency 14 2 12" xfId="7084" xr:uid="{531D5F09-9093-4B19-9BE3-5BB2D5A9E54F}"/>
    <cellStyle name="Currency 14 2 12 2" xfId="10226" xr:uid="{336F7493-EE16-4D53-AF2D-FB1DF5B2433D}"/>
    <cellStyle name="Currency 14 2 13" xfId="7327" xr:uid="{127FF470-66DC-4130-B932-628D65C46FEB}"/>
    <cellStyle name="Currency 14 2 13 2" xfId="10465" xr:uid="{EBA690CC-9B9E-4746-9E05-5A867BA21FB7}"/>
    <cellStyle name="Currency 14 2 14" xfId="7451" xr:uid="{36371157-8F4D-44FE-A661-2584A5AA84C4}"/>
    <cellStyle name="Currency 14 2 14 2" xfId="10586" xr:uid="{6EAD266E-930A-4124-9378-7393897A7EE3}"/>
    <cellStyle name="Currency 14 2 15" xfId="4358" xr:uid="{0EFEF0A0-8108-4B31-93B5-2BABCE41D91F}"/>
    <cellStyle name="Currency 14 2 16" xfId="4479" xr:uid="{0F1CF668-8BF5-42E6-8AF9-93C4E8A8984B}"/>
    <cellStyle name="Currency 14 2 17" xfId="10932" xr:uid="{4B676FA3-8F17-42D2-B55F-F290B82CB044}"/>
    <cellStyle name="Currency 14 2 18" xfId="11263" xr:uid="{08EEA7BC-8660-4D02-8519-4587B7B96129}"/>
    <cellStyle name="Currency 14 2 19" xfId="11391" xr:uid="{4CBA5B24-DE46-45E8-93FD-64AA7CBB6421}"/>
    <cellStyle name="Currency 14 2 2" xfId="1256" xr:uid="{00000000-0005-0000-0000-00001A010000}"/>
    <cellStyle name="Currency 14 2 2 2" xfId="3367" xr:uid="{FFE21561-57FF-4C33-9140-C6A0B8437008}"/>
    <cellStyle name="Currency 14 2 2 3" xfId="4673" xr:uid="{F6009A32-503B-402E-B1FD-380D4DE64B4B}"/>
    <cellStyle name="Currency 14 2 2 4" xfId="7886" xr:uid="{19C18162-4637-4ED3-85F1-6277E2E5FA62}"/>
    <cellStyle name="Currency 14 2 20" xfId="11203" xr:uid="{4C6C8013-531C-40A9-8ED1-ECC5D1F0049C}"/>
    <cellStyle name="Currency 14 2 21" xfId="11823" xr:uid="{4E288EFE-AD00-4549-8CE7-CA72242279AC}"/>
    <cellStyle name="Currency 14 2 22" xfId="12024" xr:uid="{DAFFADC8-DC17-4463-8074-4FD5D70290F7}"/>
    <cellStyle name="Currency 14 2 23" xfId="12374" xr:uid="{182795A3-44CD-4FEF-AB3F-0B7D8CCFF5C5}"/>
    <cellStyle name="Currency 14 2 24" xfId="12521" xr:uid="{996D0C77-C3B4-49B2-AD6B-2046D98BC8FC}"/>
    <cellStyle name="Currency 14 2 25" xfId="12323" xr:uid="{20A27705-6E38-4200-AC84-27DDA0694521}"/>
    <cellStyle name="Currency 14 2 26" xfId="13069" xr:uid="{2ECB592F-E0C6-45A6-8117-BC406AA69B51}"/>
    <cellStyle name="Currency 14 2 27" xfId="13196" xr:uid="{0A5E55F2-6519-4051-AACE-5AB8657ABC37}"/>
    <cellStyle name="Currency 14 2 3" xfId="1442" xr:uid="{00000000-0005-0000-0000-00001B010000}"/>
    <cellStyle name="Currency 14 2 3 2" xfId="3552" xr:uid="{74536155-6728-484A-BC7B-14CF4A3033F5}"/>
    <cellStyle name="Currency 14 2 3 3" xfId="4858" xr:uid="{57CDC41D-C163-45C1-BB03-1B711414DE65}"/>
    <cellStyle name="Currency 14 2 3 4" xfId="8068" xr:uid="{EC7908D0-DED9-417A-B6D1-934AAA932F3E}"/>
    <cellStyle name="Currency 14 2 4" xfId="1688" xr:uid="{00000000-0005-0000-0000-00001C010000}"/>
    <cellStyle name="Currency 14 2 4 2" xfId="3789" xr:uid="{98FEFAC5-644C-4A24-B7EC-69BA58386CA0}"/>
    <cellStyle name="Currency 14 2 4 3" xfId="5109" xr:uid="{A1049B79-56B0-4B98-AF17-1677F6B61524}"/>
    <cellStyle name="Currency 14 2 4 4" xfId="8308" xr:uid="{834D9DBF-BBD2-4591-91A7-8946BB43D881}"/>
    <cellStyle name="Currency 14 2 5" xfId="1948" xr:uid="{00000000-0005-0000-0000-00001D010000}"/>
    <cellStyle name="Currency 14 2 5 2" xfId="4053" xr:uid="{C94048BA-D198-4C8D-A412-7B754B2DCB8F}"/>
    <cellStyle name="Currency 14 2 5 3" xfId="5352" xr:uid="{B0E97832-443A-4307-856A-EC14C6243775}"/>
    <cellStyle name="Currency 14 2 5 4" xfId="8544" xr:uid="{D8CAD1D9-A879-464D-BE39-D76343F7E92F}"/>
    <cellStyle name="Currency 14 2 6" xfId="2203" xr:uid="{D71BDB7B-20AA-4980-B09A-8B229142F587}"/>
    <cellStyle name="Currency 14 2 6 2" xfId="5588" xr:uid="{2F4DEC54-A050-4313-9E0F-E11E8F7CA44B}"/>
    <cellStyle name="Currency 14 2 6 3" xfId="8780" xr:uid="{4F76B0B9-A421-4A4A-B158-20B0812D784B}"/>
    <cellStyle name="Currency 14 2 7" xfId="2439" xr:uid="{B590BA3F-611A-4C72-9D9B-91D6164E49FD}"/>
    <cellStyle name="Currency 14 2 7 2" xfId="5818" xr:uid="{19DA86D7-C9A9-4571-B5E1-C8E79EDDCBAC}"/>
    <cellStyle name="Currency 14 2 7 3" xfId="9010" xr:uid="{E8334848-2627-4A0C-9DFF-B56F2493E0CC}"/>
    <cellStyle name="Currency 14 2 8" xfId="2681" xr:uid="{6BF58F10-E52B-446D-8DA0-BB86CCEAE8B0}"/>
    <cellStyle name="Currency 14 2 8 2" xfId="6049" xr:uid="{3A0B5F27-2CE5-4851-8B68-6EF828F69169}"/>
    <cellStyle name="Currency 14 2 8 3" xfId="9240" xr:uid="{5CA1F8B0-AC46-4AB1-BD58-8BBB93E3A4A7}"/>
    <cellStyle name="Currency 14 2 9" xfId="2914" xr:uid="{0D52E4E3-492A-47FD-8D29-65A3B337B0E0}"/>
    <cellStyle name="Currency 14 2 9 2" xfId="6282" xr:uid="{96CDB800-C7CB-4146-874B-9DBFF11CE956}"/>
    <cellStyle name="Currency 14 2 9 3" xfId="9470" xr:uid="{233CA41C-E11F-4277-84BC-F2EF75E12A2D}"/>
    <cellStyle name="Currency 14 20" xfId="11392" xr:uid="{FB3D764F-B794-45F2-BEB8-5CC2BA043616}"/>
    <cellStyle name="Currency 14 21" xfId="11202" xr:uid="{0907BA25-A193-4CB5-9EC6-FC026853D505}"/>
    <cellStyle name="Currency 14 22" xfId="11822" xr:uid="{CB86FA5A-85E7-404C-8416-3F78CE86ACF6}"/>
    <cellStyle name="Currency 14 23" xfId="12023" xr:uid="{17C705A5-D407-4DCC-ACAC-F5BBC07FDE48}"/>
    <cellStyle name="Currency 14 24" xfId="12373" xr:uid="{D930A150-2598-49C2-A144-B55E2B32D98F}"/>
    <cellStyle name="Currency 14 25" xfId="12522" xr:uid="{9D5E4405-A6E4-4E3E-ADBA-913AA4FE1E44}"/>
    <cellStyle name="Currency 14 26" xfId="12322" xr:uid="{BFF28018-6590-48FC-96B2-05145EB9777B}"/>
    <cellStyle name="Currency 14 27" xfId="13068" xr:uid="{26FB5A6F-A6BF-4DF2-B3E8-82EDBEEB0328}"/>
    <cellStyle name="Currency 14 28" xfId="13197" xr:uid="{4F64AF12-5AF3-4C8A-A4D8-7068F9720874}"/>
    <cellStyle name="Currency 14 3" xfId="1255" xr:uid="{00000000-0005-0000-0000-00001E010000}"/>
    <cellStyle name="Currency 14 3 2" xfId="3366" xr:uid="{767604F0-F2DF-4A67-950D-410653EE3EBE}"/>
    <cellStyle name="Currency 14 3 3" xfId="4672" xr:uid="{2E96727E-C8F2-475F-B522-ADD237B9B568}"/>
    <cellStyle name="Currency 14 3 4" xfId="7885" xr:uid="{4465F2C0-22F4-4814-B929-FCFB6DD1047C}"/>
    <cellStyle name="Currency 14 4" xfId="1441" xr:uid="{00000000-0005-0000-0000-00001F010000}"/>
    <cellStyle name="Currency 14 4 2" xfId="3551" xr:uid="{60FB5D11-4671-46A0-980B-F2D6BC13927D}"/>
    <cellStyle name="Currency 14 4 3" xfId="4857" xr:uid="{8928DF3D-54F9-4864-9998-7FE7ED7442A9}"/>
    <cellStyle name="Currency 14 4 4" xfId="8067" xr:uid="{0F9A00D2-3424-4C2D-86ED-67555C5E5A6B}"/>
    <cellStyle name="Currency 14 5" xfId="1687" xr:uid="{00000000-0005-0000-0000-000020010000}"/>
    <cellStyle name="Currency 14 5 2" xfId="3788" xr:uid="{7A9431E1-08E2-4C44-9E90-C250482832D5}"/>
    <cellStyle name="Currency 14 5 3" xfId="5108" xr:uid="{C8B0E6EE-5057-43D4-983D-3B1CE6FC738C}"/>
    <cellStyle name="Currency 14 5 4" xfId="8307" xr:uid="{9C35E4AD-E4D9-4698-BD87-319312F9053C}"/>
    <cellStyle name="Currency 14 6" xfId="1947" xr:uid="{00000000-0005-0000-0000-000021010000}"/>
    <cellStyle name="Currency 14 6 2" xfId="4052" xr:uid="{8A50A8EC-A608-428B-B743-1FC36A7B4897}"/>
    <cellStyle name="Currency 14 6 3" xfId="5351" xr:uid="{F33E4914-B302-418F-92CC-E1571AB9CD4E}"/>
    <cellStyle name="Currency 14 6 4" xfId="8543" xr:uid="{14B8A7E2-ED31-458F-AA79-2E96CDDE1139}"/>
    <cellStyle name="Currency 14 7" xfId="2202" xr:uid="{B79B505D-5893-417F-8CB8-01BBCF6E2A71}"/>
    <cellStyle name="Currency 14 7 2" xfId="5587" xr:uid="{376FA6EC-7DC8-4553-AD9B-30EEFE96B054}"/>
    <cellStyle name="Currency 14 7 3" xfId="8779" xr:uid="{53752238-0499-4722-8A49-3D7AAE11276A}"/>
    <cellStyle name="Currency 14 8" xfId="2438" xr:uid="{1ED02371-17F8-4D8C-9A93-23EDDDA32F66}"/>
    <cellStyle name="Currency 14 8 2" xfId="5817" xr:uid="{486DB714-3C14-4C74-A2F1-7E68F99398B6}"/>
    <cellStyle name="Currency 14 8 3" xfId="9009" xr:uid="{2E8E5225-DFD8-4FF9-BDF1-1BF3DAC7BA17}"/>
    <cellStyle name="Currency 14 9" xfId="2680" xr:uid="{86A482C2-CD2E-4B79-A176-4CACECB367D0}"/>
    <cellStyle name="Currency 14 9 2" xfId="6048" xr:uid="{F8C6D315-8EA4-4F94-BD8A-C48A6B0101C8}"/>
    <cellStyle name="Currency 14 9 3" xfId="9239" xr:uid="{B2C7E6BC-51FC-469C-8C02-C8FCB21D3C74}"/>
    <cellStyle name="Currency 15" xfId="251" xr:uid="{00000000-0005-0000-0000-000022010000}"/>
    <cellStyle name="Currency 15 10" xfId="2915" xr:uid="{1ED850CE-8F20-4E58-ACF3-E3ED4F945FA5}"/>
    <cellStyle name="Currency 15 10 2" xfId="6283" xr:uid="{41AF794D-83CB-4187-95CC-3685C3D51F75}"/>
    <cellStyle name="Currency 15 10 3" xfId="9471" xr:uid="{4F623DC3-3227-4883-81D5-1D616016BF6B}"/>
    <cellStyle name="Currency 15 11" xfId="3128" xr:uid="{6769B4BC-F140-4980-B29D-C6E52F96E8BD}"/>
    <cellStyle name="Currency 15 11 2" xfId="6529" xr:uid="{CD5BB5FD-32B4-4E67-86DC-AFBBB6BCC44A}"/>
    <cellStyle name="Currency 15 11 3" xfId="9712" xr:uid="{3DE9108D-0F98-415F-A2BA-DA38C3FDE22F}"/>
    <cellStyle name="Currency 15 12" xfId="6790" xr:uid="{E940C543-EC2B-4EE5-A337-C622E0EC7BEE}"/>
    <cellStyle name="Currency 15 12 2" xfId="9954" xr:uid="{A9E477BF-2C4D-4B2C-88EA-B7E9F17A7A1E}"/>
    <cellStyle name="Currency 15 13" xfId="7085" xr:uid="{5F56A466-0ACB-4C47-97D4-733771C4E9EB}"/>
    <cellStyle name="Currency 15 13 2" xfId="10227" xr:uid="{406A2AF3-1D1A-4340-96D7-5D6621B4AC56}"/>
    <cellStyle name="Currency 15 14" xfId="7328" xr:uid="{671FD78A-3660-4F41-BFED-F635B7F2129B}"/>
    <cellStyle name="Currency 15 14 2" xfId="10466" xr:uid="{A3418EA0-E2BF-4508-957D-7184D9B6FC11}"/>
    <cellStyle name="Currency 15 15" xfId="7450" xr:uid="{ED1E9A69-0778-46D0-B5D1-48AEB151AD0E}"/>
    <cellStyle name="Currency 15 15 2" xfId="10585" xr:uid="{D4F7CF56-A5F4-4DF0-B309-368A1BB91FF0}"/>
    <cellStyle name="Currency 15 16" xfId="4359" xr:uid="{D5A86BFE-6BE7-45C3-B6F4-BF35FDA3BE42}"/>
    <cellStyle name="Currency 15 17" xfId="4478" xr:uid="{3B811ACB-5E70-40B9-85F1-C3C2FDD0402B}"/>
    <cellStyle name="Currency 15 18" xfId="10933" xr:uid="{E6FCAC54-A049-4FEB-B3C6-8EC50662F73B}"/>
    <cellStyle name="Currency 15 19" xfId="11264" xr:uid="{37808971-8B8B-4627-882B-36639AC60914}"/>
    <cellStyle name="Currency 15 2" xfId="252" xr:uid="{00000000-0005-0000-0000-000023010000}"/>
    <cellStyle name="Currency 15 20" xfId="11390" xr:uid="{F78FFFBC-F854-4249-BD7A-1BB461652FD9}"/>
    <cellStyle name="Currency 15 21" xfId="11204" xr:uid="{ECB979E4-F806-4B2E-A083-19A3D4E0CA92}"/>
    <cellStyle name="Currency 15 22" xfId="11824" xr:uid="{262E064B-2F83-4AF1-89BC-AB5B554E8032}"/>
    <cellStyle name="Currency 15 23" xfId="12025" xr:uid="{778DDCFD-C5D7-46BF-8114-39A496D252E4}"/>
    <cellStyle name="Currency 15 24" xfId="12375" xr:uid="{CC77A63A-D748-4778-8061-C6A350D16049}"/>
    <cellStyle name="Currency 15 25" xfId="12520" xr:uid="{DBB12880-2D1F-4FA5-9DD4-B6C738EF5F0E}"/>
    <cellStyle name="Currency 15 26" xfId="12324" xr:uid="{C5465EAA-4ECC-4CE1-B3F7-49B7EBAC7DDC}"/>
    <cellStyle name="Currency 15 27" xfId="13070" xr:uid="{591E8419-5646-4CA3-A652-FD4862303D81}"/>
    <cellStyle name="Currency 15 28" xfId="13195" xr:uid="{763EDB70-C524-490F-A6B6-6EAD1D4BC186}"/>
    <cellStyle name="Currency 15 3" xfId="1257" xr:uid="{00000000-0005-0000-0000-000024010000}"/>
    <cellStyle name="Currency 15 3 2" xfId="3368" xr:uid="{6865B67B-734B-4102-A9A4-6522D744084B}"/>
    <cellStyle name="Currency 15 3 3" xfId="4674" xr:uid="{228189B1-156C-4798-BE92-B777D0CBBA4F}"/>
    <cellStyle name="Currency 15 3 4" xfId="7887" xr:uid="{A8E44318-F5A3-4C7F-AF38-5AFAD6751C9A}"/>
    <cellStyle name="Currency 15 4" xfId="1443" xr:uid="{00000000-0005-0000-0000-000025010000}"/>
    <cellStyle name="Currency 15 4 2" xfId="3553" xr:uid="{D2418F94-7DAE-46D7-B59A-6309FA950784}"/>
    <cellStyle name="Currency 15 4 3" xfId="4859" xr:uid="{3E295206-6E4D-4E4A-BF0D-ED12DC9A564C}"/>
    <cellStyle name="Currency 15 4 4" xfId="8069" xr:uid="{15C5A1EF-AC10-4524-9AFB-7A85B2928431}"/>
    <cellStyle name="Currency 15 5" xfId="1689" xr:uid="{00000000-0005-0000-0000-000026010000}"/>
    <cellStyle name="Currency 15 5 2" xfId="3790" xr:uid="{613027DE-B5A0-4FE6-BD8B-3EC007A898BD}"/>
    <cellStyle name="Currency 15 5 3" xfId="5110" xr:uid="{D2CE25B2-171E-484A-8C3B-9D7F2CDAEFA4}"/>
    <cellStyle name="Currency 15 5 4" xfId="8309" xr:uid="{92833F2F-1825-4350-A4A6-AD3D19CBD2DA}"/>
    <cellStyle name="Currency 15 6" xfId="1949" xr:uid="{00000000-0005-0000-0000-000027010000}"/>
    <cellStyle name="Currency 15 6 2" xfId="4054" xr:uid="{96433794-9D48-4D55-98FD-A1EB2B89F232}"/>
    <cellStyle name="Currency 15 6 3" xfId="5353" xr:uid="{E674770A-A659-40E2-901F-31F5710F45B3}"/>
    <cellStyle name="Currency 15 6 4" xfId="8545" xr:uid="{598C51DE-E268-4F52-9D6F-F11C261FFCE9}"/>
    <cellStyle name="Currency 15 7" xfId="2204" xr:uid="{E378D080-D598-455D-B977-DDACAE31C71B}"/>
    <cellStyle name="Currency 15 7 2" xfId="5589" xr:uid="{7AF1DC7F-04F8-4C7D-BEF4-36C7ED5181CD}"/>
    <cellStyle name="Currency 15 7 3" xfId="8781" xr:uid="{8403414A-762B-4C0E-8F4A-73F1DCB6A1E0}"/>
    <cellStyle name="Currency 15 8" xfId="2440" xr:uid="{D62DA738-FCE5-4BF0-BA14-CC21375B8497}"/>
    <cellStyle name="Currency 15 8 2" xfId="5819" xr:uid="{BFE0A8C6-FFC7-4670-9F2C-9D1B3F173B66}"/>
    <cellStyle name="Currency 15 8 3" xfId="9011" xr:uid="{1C226762-1C33-4035-966F-5CFA11001C7D}"/>
    <cellStyle name="Currency 15 9" xfId="2682" xr:uid="{2D2DFDA5-FAC7-4A9F-A31E-BF95A05B387E}"/>
    <cellStyle name="Currency 15 9 2" xfId="6050" xr:uid="{CD0B6647-56D7-4892-ACD8-D48EAE996627}"/>
    <cellStyle name="Currency 15 9 3" xfId="9241" xr:uid="{8E30EA6C-D9CA-453C-B620-E25473396937}"/>
    <cellStyle name="Currency 16" xfId="253" xr:uid="{00000000-0005-0000-0000-000028010000}"/>
    <cellStyle name="Currency 16 10" xfId="2916" xr:uid="{D65F0DC5-C737-4A8E-BE0A-5E31C84D1155}"/>
    <cellStyle name="Currency 16 10 2" xfId="6284" xr:uid="{E9E59BBD-18BE-4BF3-9208-D60A754AF8F5}"/>
    <cellStyle name="Currency 16 10 3" xfId="9472" xr:uid="{D3692396-79E8-4D82-AE19-DF4413D9AFA4}"/>
    <cellStyle name="Currency 16 11" xfId="3129" xr:uid="{50681B18-E686-4486-8405-3A3DAADE6220}"/>
    <cellStyle name="Currency 16 11 2" xfId="6530" xr:uid="{D1BD39ED-BD74-4649-99B3-1A8092646832}"/>
    <cellStyle name="Currency 16 11 3" xfId="9713" xr:uid="{95A0BB78-8724-429F-AAE6-EF450D0F5994}"/>
    <cellStyle name="Currency 16 12" xfId="6791" xr:uid="{9DEE40D7-B9E7-4187-8851-86EF062E0A92}"/>
    <cellStyle name="Currency 16 12 2" xfId="9955" xr:uid="{E2967B90-DDC9-4498-AE8E-9B5B0D7B533F}"/>
    <cellStyle name="Currency 16 13" xfId="7086" xr:uid="{88336E63-5053-4A74-BEB1-AD5B90B98FB6}"/>
    <cellStyle name="Currency 16 13 2" xfId="10228" xr:uid="{0DFB83DA-64BD-4F68-B0DE-C6646F35B1C4}"/>
    <cellStyle name="Currency 16 14" xfId="7329" xr:uid="{E39D3D4B-8ADA-44FA-9886-40197980955C}"/>
    <cellStyle name="Currency 16 14 2" xfId="10467" xr:uid="{7EF05171-5172-4C09-8398-FE57627842CC}"/>
    <cellStyle name="Currency 16 15" xfId="7449" xr:uid="{A8034B75-B297-40CC-BA58-187754DD4860}"/>
    <cellStyle name="Currency 16 15 2" xfId="10584" xr:uid="{238955D7-193C-4036-918D-914CCB1D7964}"/>
    <cellStyle name="Currency 16 16" xfId="4360" xr:uid="{A0FF4F6C-403F-4580-952B-C54C47974A40}"/>
    <cellStyle name="Currency 16 17" xfId="4477" xr:uid="{6E271D7C-CA19-4BCC-8818-1D1B09C387CF}"/>
    <cellStyle name="Currency 16 18" xfId="10934" xr:uid="{58DAE699-B1F2-4E77-AD17-396F955C74F0}"/>
    <cellStyle name="Currency 16 19" xfId="11265" xr:uid="{8A90E9EE-73D4-46AB-876A-D8FBC1A48366}"/>
    <cellStyle name="Currency 16 2" xfId="254" xr:uid="{00000000-0005-0000-0000-000029010000}"/>
    <cellStyle name="Currency 16 2 10" xfId="3130" xr:uid="{73ED7B9C-A4BF-4EF0-9FE4-A0B967122475}"/>
    <cellStyle name="Currency 16 2 10 2" xfId="6531" xr:uid="{1928CA70-44DA-4C41-880A-1D7D85752127}"/>
    <cellStyle name="Currency 16 2 10 3" xfId="9714" xr:uid="{7F83FDE4-D19A-4565-9E0B-4ADDE8635B6A}"/>
    <cellStyle name="Currency 16 2 11" xfId="6792" xr:uid="{CFE0488D-6FCB-42B3-8AF7-0634A3AE433B}"/>
    <cellStyle name="Currency 16 2 11 2" xfId="9956" xr:uid="{F7A31168-CA92-47F1-BF10-4ECD6943492D}"/>
    <cellStyle name="Currency 16 2 12" xfId="7087" xr:uid="{E894DA14-6C02-4E0B-9A18-81EA26111FA9}"/>
    <cellStyle name="Currency 16 2 12 2" xfId="10229" xr:uid="{03A0AB1D-DC78-44F8-A77C-1C67BAEEC33E}"/>
    <cellStyle name="Currency 16 2 13" xfId="7330" xr:uid="{28921AAA-8BAC-4B97-AA56-E6CF5ABC3268}"/>
    <cellStyle name="Currency 16 2 13 2" xfId="10468" xr:uid="{43D50870-AA42-4A89-818B-448F56120EC7}"/>
    <cellStyle name="Currency 16 2 14" xfId="7448" xr:uid="{6571370F-429E-4D55-8A22-9F8F455A2072}"/>
    <cellStyle name="Currency 16 2 14 2" xfId="10583" xr:uid="{7F1B8B2F-8F15-4559-83F0-DCE2A56E95B8}"/>
    <cellStyle name="Currency 16 2 15" xfId="4361" xr:uid="{FAAA961C-5B7C-4A96-ACEC-C4DA34BDAEC9}"/>
    <cellStyle name="Currency 16 2 16" xfId="4476" xr:uid="{11ABCA80-2119-4457-B3DF-98481CE71742}"/>
    <cellStyle name="Currency 16 2 17" xfId="10935" xr:uid="{AB7E3B2C-68D7-4C94-977C-C1DE3F6AE1D4}"/>
    <cellStyle name="Currency 16 2 18" xfId="11266" xr:uid="{7E9E5DAE-81AC-4061-83CE-4730EF3EB6B5}"/>
    <cellStyle name="Currency 16 2 19" xfId="11388" xr:uid="{8BD4838E-5DE6-4B7E-89F7-949B6350490B}"/>
    <cellStyle name="Currency 16 2 2" xfId="1259" xr:uid="{00000000-0005-0000-0000-00002A010000}"/>
    <cellStyle name="Currency 16 2 2 2" xfId="3370" xr:uid="{367DA765-4C57-463C-BA9A-63D1AD3B6F5A}"/>
    <cellStyle name="Currency 16 2 2 3" xfId="4676" xr:uid="{AE73DD0C-45B4-437C-8B04-15E99D8F5A61}"/>
    <cellStyle name="Currency 16 2 2 4" xfId="7889" xr:uid="{657548C0-54C3-45C0-829C-D63DAC03DF5A}"/>
    <cellStyle name="Currency 16 2 20" xfId="11207" xr:uid="{B8F72237-07D1-436E-84F6-8E88CE8E188E}"/>
    <cellStyle name="Currency 16 2 21" xfId="11826" xr:uid="{29A4E105-CACE-4738-AAB1-E5C6A2933F80}"/>
    <cellStyle name="Currency 16 2 22" xfId="12027" xr:uid="{A0AA199E-FB7E-4CBB-B5CC-B12DB5EFE62C}"/>
    <cellStyle name="Currency 16 2 23" xfId="12378" xr:uid="{F601ADCC-40EB-4DAC-B410-AE44CDB0F76A}"/>
    <cellStyle name="Currency 16 2 24" xfId="12517" xr:uid="{B9E7DAF1-B64B-4E3B-BC12-CCA64A9EDE55}"/>
    <cellStyle name="Currency 16 2 25" xfId="12326" xr:uid="{BEFDA0EB-B7E0-41B1-B960-F07B6A457FC8}"/>
    <cellStyle name="Currency 16 2 26" xfId="13072" xr:uid="{485A1F4B-FE3D-4BFF-9CCB-B5EA0BE70CFB}"/>
    <cellStyle name="Currency 16 2 27" xfId="13193" xr:uid="{205E3746-EADA-4BBB-9BFE-64D52C65DEB9}"/>
    <cellStyle name="Currency 16 2 3" xfId="1445" xr:uid="{00000000-0005-0000-0000-00002B010000}"/>
    <cellStyle name="Currency 16 2 3 2" xfId="3555" xr:uid="{B4F1FB45-CDA2-4769-AAF3-01C52908276A}"/>
    <cellStyle name="Currency 16 2 3 3" xfId="4861" xr:uid="{F405460E-3777-4C12-878E-6F477CA22E9F}"/>
    <cellStyle name="Currency 16 2 3 4" xfId="8071" xr:uid="{D59BA839-8333-4CBF-960E-355B73F2C99D}"/>
    <cellStyle name="Currency 16 2 4" xfId="1691" xr:uid="{00000000-0005-0000-0000-00002C010000}"/>
    <cellStyle name="Currency 16 2 4 2" xfId="3792" xr:uid="{CEBD9C1A-603C-4854-BE04-787775E7469B}"/>
    <cellStyle name="Currency 16 2 4 3" xfId="5112" xr:uid="{774E32E2-5369-4E4D-9DEA-BEE3051CBDB7}"/>
    <cellStyle name="Currency 16 2 4 4" xfId="8311" xr:uid="{9B9EFAC2-E90E-4471-9EF9-0941F4D28BCF}"/>
    <cellStyle name="Currency 16 2 5" xfId="1951" xr:uid="{00000000-0005-0000-0000-00002D010000}"/>
    <cellStyle name="Currency 16 2 5 2" xfId="4056" xr:uid="{3AB8C38B-4160-4529-A4F0-59F670582BAF}"/>
    <cellStyle name="Currency 16 2 5 3" xfId="5355" xr:uid="{9E4BF3BF-F8D8-47F5-8807-EFDD9A491C5A}"/>
    <cellStyle name="Currency 16 2 5 4" xfId="8547" xr:uid="{9659D7FE-8729-4BBE-B6BB-CCAB66E65435}"/>
    <cellStyle name="Currency 16 2 6" xfId="2206" xr:uid="{4666AC8A-9B05-418E-8840-A2F9D56F30A8}"/>
    <cellStyle name="Currency 16 2 6 2" xfId="5591" xr:uid="{98C58C3B-DC13-42A7-8322-37987A4C4406}"/>
    <cellStyle name="Currency 16 2 6 3" xfId="8783" xr:uid="{313E2A7A-03C4-41F2-96DB-5284F3BC4D93}"/>
    <cellStyle name="Currency 16 2 7" xfId="2442" xr:uid="{67D40078-7E7F-43E4-BBBA-D01829447688}"/>
    <cellStyle name="Currency 16 2 7 2" xfId="5821" xr:uid="{1BC298A7-331B-496C-A510-CBE082215B84}"/>
    <cellStyle name="Currency 16 2 7 3" xfId="9013" xr:uid="{4DB5ADAF-1FA6-4B97-B6BB-C51C36A96548}"/>
    <cellStyle name="Currency 16 2 8" xfId="2684" xr:uid="{BA40C5A3-5C67-4250-871F-9AE8EE6CB41B}"/>
    <cellStyle name="Currency 16 2 8 2" xfId="6052" xr:uid="{57973824-59BD-4D3D-B103-070D116082B5}"/>
    <cellStyle name="Currency 16 2 8 3" xfId="9243" xr:uid="{5299AB56-3742-49DE-B89C-719D92D3B580}"/>
    <cellStyle name="Currency 16 2 9" xfId="2917" xr:uid="{052BB513-7DC0-4047-9B1C-0CBD0B973036}"/>
    <cellStyle name="Currency 16 2 9 2" xfId="6285" xr:uid="{A9DFE7ED-1E3D-4920-B199-7D3E07BD7530}"/>
    <cellStyle name="Currency 16 2 9 3" xfId="9473" xr:uid="{91EC4CF1-D9F5-4A28-9922-537A42012A2B}"/>
    <cellStyle name="Currency 16 20" xfId="11389" xr:uid="{DA1EB3E6-93DD-4BAB-BC01-F162EE856443}"/>
    <cellStyle name="Currency 16 21" xfId="11206" xr:uid="{B8FCFDB0-AA93-4C2E-830D-7044DBE0AD26}"/>
    <cellStyle name="Currency 16 22" xfId="11825" xr:uid="{9B29A2B8-4496-4B5F-B8CA-4E0801BB3E43}"/>
    <cellStyle name="Currency 16 23" xfId="12026" xr:uid="{B564FEA2-63DE-44F3-8C3D-160514134AC3}"/>
    <cellStyle name="Currency 16 24" xfId="12377" xr:uid="{0224D514-0E24-4DD4-B25E-8AF82998911A}"/>
    <cellStyle name="Currency 16 25" xfId="12518" xr:uid="{1E04E930-6672-473B-9221-BD7E8E962F9B}"/>
    <cellStyle name="Currency 16 26" xfId="12325" xr:uid="{3764C9D3-6DF9-4665-A73D-23046C05BDD9}"/>
    <cellStyle name="Currency 16 27" xfId="13071" xr:uid="{04F92737-B42C-4410-8DAB-9DF1AD091576}"/>
    <cellStyle name="Currency 16 28" xfId="13194" xr:uid="{9972B3AA-A267-49EB-8751-9C8C5B600076}"/>
    <cellStyle name="Currency 16 3" xfId="1258" xr:uid="{00000000-0005-0000-0000-00002E010000}"/>
    <cellStyle name="Currency 16 3 2" xfId="3369" xr:uid="{89E2818D-9D2C-4704-932A-B32A1790A65F}"/>
    <cellStyle name="Currency 16 3 3" xfId="4675" xr:uid="{07D24D27-9C4E-4CBC-9640-6EE69640776D}"/>
    <cellStyle name="Currency 16 3 4" xfId="7888" xr:uid="{F9C0A335-F3D8-4710-8E86-7AB465D6ABFB}"/>
    <cellStyle name="Currency 16 4" xfId="1444" xr:uid="{00000000-0005-0000-0000-00002F010000}"/>
    <cellStyle name="Currency 16 4 2" xfId="3554" xr:uid="{BF29D14D-6814-458D-BEBA-508D8B5AA6AB}"/>
    <cellStyle name="Currency 16 4 3" xfId="4860" xr:uid="{3FC59E8B-DA0E-402D-9FC0-CE30098E2923}"/>
    <cellStyle name="Currency 16 4 4" xfId="8070" xr:uid="{ECD72A2E-6073-414C-9D66-17946B520F0B}"/>
    <cellStyle name="Currency 16 5" xfId="1690" xr:uid="{00000000-0005-0000-0000-000030010000}"/>
    <cellStyle name="Currency 16 5 2" xfId="3791" xr:uid="{49713CB7-96DE-4794-8521-4189F5C7DFA0}"/>
    <cellStyle name="Currency 16 5 3" xfId="5111" xr:uid="{A5C13EE4-CBE4-4687-B4C6-2A1E8A83953E}"/>
    <cellStyle name="Currency 16 5 4" xfId="8310" xr:uid="{FDFD87CC-D423-45E1-A862-27C1F0279B02}"/>
    <cellStyle name="Currency 16 6" xfId="1950" xr:uid="{00000000-0005-0000-0000-000031010000}"/>
    <cellStyle name="Currency 16 6 2" xfId="4055" xr:uid="{0EF23C04-C6E4-4CB8-BA05-710FD1FADABE}"/>
    <cellStyle name="Currency 16 6 3" xfId="5354" xr:uid="{4DB3A62B-E149-4FD1-A181-F8D291EBBCEB}"/>
    <cellStyle name="Currency 16 6 4" xfId="8546" xr:uid="{0E4E4E9E-A334-49F9-B1FB-1EC9930B9D46}"/>
    <cellStyle name="Currency 16 7" xfId="2205" xr:uid="{3BE4B32C-ADAD-4A06-92D5-F034757A8C7C}"/>
    <cellStyle name="Currency 16 7 2" xfId="5590" xr:uid="{96323A7B-1AE2-4854-8FA7-E26C3D62E9F3}"/>
    <cellStyle name="Currency 16 7 3" xfId="8782" xr:uid="{1F294CD4-0B74-4AA9-B436-D660CA767107}"/>
    <cellStyle name="Currency 16 8" xfId="2441" xr:uid="{215739D7-AEF1-40D5-82B9-DD36B8D72B7A}"/>
    <cellStyle name="Currency 16 8 2" xfId="5820" xr:uid="{F320B56F-0184-42D1-BF0E-FA356557C1DE}"/>
    <cellStyle name="Currency 16 8 3" xfId="9012" xr:uid="{53E137C0-C3D0-42D9-94DE-D4B5EB832EDF}"/>
    <cellStyle name="Currency 16 9" xfId="2683" xr:uid="{CB41F3EA-F61A-49F5-90F1-D61B68807FC2}"/>
    <cellStyle name="Currency 16 9 2" xfId="6051" xr:uid="{EA0A013A-348C-45A7-B80A-E7131C04B144}"/>
    <cellStyle name="Currency 16 9 3" xfId="9242" xr:uid="{8AF4A10A-FB73-43B1-927F-F19EB1FFBBEF}"/>
    <cellStyle name="Currency 17" xfId="255" xr:uid="{00000000-0005-0000-0000-000032010000}"/>
    <cellStyle name="Currency 17 10" xfId="2918" xr:uid="{AECA44E0-0C4E-44FC-8391-3D1EF6A58B6F}"/>
    <cellStyle name="Currency 17 10 2" xfId="6286" xr:uid="{3F510A88-4E5C-4F33-B380-A64DE2CA5C79}"/>
    <cellStyle name="Currency 17 10 3" xfId="9474" xr:uid="{BA15133C-BF05-434E-873D-8679FB0966C1}"/>
    <cellStyle name="Currency 17 11" xfId="3131" xr:uid="{646EBD7A-19A3-4029-A766-80418A887941}"/>
    <cellStyle name="Currency 17 11 2" xfId="6532" xr:uid="{08E8DB5F-C632-40DD-AD7E-AE2BDB20EA0B}"/>
    <cellStyle name="Currency 17 11 3" xfId="9715" xr:uid="{669D8E49-7E1F-4B11-87F5-7C739E3AA32A}"/>
    <cellStyle name="Currency 17 12" xfId="6793" xr:uid="{0CC7195C-241B-4435-AB0C-FA34B2C0760E}"/>
    <cellStyle name="Currency 17 12 2" xfId="9957" xr:uid="{8B5B1CE1-9BE0-4CC7-9FAF-0D89220A5260}"/>
    <cellStyle name="Currency 17 13" xfId="7088" xr:uid="{9A596DDF-48FD-4C42-B06B-3811CE6ADBE9}"/>
    <cellStyle name="Currency 17 13 2" xfId="10230" xr:uid="{C9406BC6-FC6E-4C99-A245-38FD3FE0CB26}"/>
    <cellStyle name="Currency 17 14" xfId="7331" xr:uid="{55E1E603-CC16-4A38-BCCF-C1C911724610}"/>
    <cellStyle name="Currency 17 14 2" xfId="10469" xr:uid="{3A82D9BA-2A29-42CB-8C41-3C10B91F99AB}"/>
    <cellStyle name="Currency 17 15" xfId="7447" xr:uid="{8454280E-685F-4773-BB24-495668DAED55}"/>
    <cellStyle name="Currency 17 15 2" xfId="10582" xr:uid="{7A97A3DD-74EA-4869-9F3D-A7D24143438A}"/>
    <cellStyle name="Currency 17 16" xfId="4362" xr:uid="{5931D926-9C84-41CD-A3D9-5ADB46385E77}"/>
    <cellStyle name="Currency 17 17" xfId="4475" xr:uid="{6B5C7986-27CA-435C-8537-E8BE365AAF33}"/>
    <cellStyle name="Currency 17 18" xfId="10936" xr:uid="{3AD7629A-8BC5-47BB-B358-293D8BE6B067}"/>
    <cellStyle name="Currency 17 19" xfId="11267" xr:uid="{A435BDC1-8416-42A6-AC1D-F449E707F5E5}"/>
    <cellStyle name="Currency 17 2" xfId="256" xr:uid="{00000000-0005-0000-0000-000033010000}"/>
    <cellStyle name="Currency 17 2 10" xfId="3132" xr:uid="{B2BB6B1A-5521-4DD6-9CC4-232029BF10A9}"/>
    <cellStyle name="Currency 17 2 10 2" xfId="6533" xr:uid="{8BF5F84B-05F3-4898-B297-1C86136AF002}"/>
    <cellStyle name="Currency 17 2 10 3" xfId="9716" xr:uid="{F7EF9360-D8D0-44E8-AD1C-CA42ABACC1C1}"/>
    <cellStyle name="Currency 17 2 11" xfId="6794" xr:uid="{63B19040-B063-4EB4-BA8C-62008196103A}"/>
    <cellStyle name="Currency 17 2 11 2" xfId="9958" xr:uid="{2193BAAA-475B-4A1A-BB96-BBB1EF54AD5F}"/>
    <cellStyle name="Currency 17 2 12" xfId="7089" xr:uid="{78F69CA2-1233-4B6E-9E3C-76DBA679A2FE}"/>
    <cellStyle name="Currency 17 2 12 2" xfId="10231" xr:uid="{BDCAF529-D1FA-4F8E-9E12-F431E98C78E8}"/>
    <cellStyle name="Currency 17 2 13" xfId="7332" xr:uid="{E39B153D-8AA3-4165-A2DA-EAC84A0EFAF1}"/>
    <cellStyle name="Currency 17 2 13 2" xfId="10470" xr:uid="{7D9C5E61-4FDE-4747-B893-1A9D512CAA51}"/>
    <cellStyle name="Currency 17 2 14" xfId="7446" xr:uid="{0B17E1E6-3BDC-4D18-86F0-D9B1F2937EB9}"/>
    <cellStyle name="Currency 17 2 14 2" xfId="10581" xr:uid="{A6E74542-9280-4A03-9487-B78114EF02CD}"/>
    <cellStyle name="Currency 17 2 15" xfId="4363" xr:uid="{279EEF19-39DE-47A2-9EAB-ED801ADB3678}"/>
    <cellStyle name="Currency 17 2 16" xfId="4474" xr:uid="{3267CCDC-639E-4A11-A903-30149D46961F}"/>
    <cellStyle name="Currency 17 2 17" xfId="10937" xr:uid="{6417FA10-3031-4D11-9283-BBE9704D1D8D}"/>
    <cellStyle name="Currency 17 2 18" xfId="11268" xr:uid="{2DD1674F-13E7-4CC5-A32F-C0F44606CBAA}"/>
    <cellStyle name="Currency 17 2 19" xfId="11386" xr:uid="{B94DDF50-5280-45FF-B448-A487DDCDA2AB}"/>
    <cellStyle name="Currency 17 2 2" xfId="1261" xr:uid="{00000000-0005-0000-0000-000034010000}"/>
    <cellStyle name="Currency 17 2 2 2" xfId="3372" xr:uid="{8ECD4D98-E9F5-45FB-A5A7-3D032D811535}"/>
    <cellStyle name="Currency 17 2 2 3" xfId="4678" xr:uid="{6D5CFC0B-8C90-4FB2-BC5A-2E1E3A1351B1}"/>
    <cellStyle name="Currency 17 2 2 4" xfId="7891" xr:uid="{2F2BD220-AA03-408F-A4B8-5D2D6BD7EAB3}"/>
    <cellStyle name="Currency 17 2 20" xfId="11209" xr:uid="{758A5E5A-B628-45D8-A1B5-4FF45977BB43}"/>
    <cellStyle name="Currency 17 2 21" xfId="11828" xr:uid="{3CBFEEAD-E551-4067-82E4-EC57E685FA0E}"/>
    <cellStyle name="Currency 17 2 22" xfId="12029" xr:uid="{9A2EE843-84F2-4E65-80FB-010A2225F498}"/>
    <cellStyle name="Currency 17 2 23" xfId="12380" xr:uid="{42194CB9-468E-4B09-94E3-C3702203D34C}"/>
    <cellStyle name="Currency 17 2 24" xfId="12515" xr:uid="{82526964-9CD1-43F5-8EBE-AA45D6F9DBFB}"/>
    <cellStyle name="Currency 17 2 25" xfId="12328" xr:uid="{65D7CC44-6E01-4EA5-8C20-EF68CF00D23A}"/>
    <cellStyle name="Currency 17 2 26" xfId="13074" xr:uid="{2F6D3469-F6B9-4105-9322-5DD1D4737174}"/>
    <cellStyle name="Currency 17 2 27" xfId="13191" xr:uid="{D8905FEA-380A-4585-873A-957292E9E7F0}"/>
    <cellStyle name="Currency 17 2 3" xfId="1447" xr:uid="{00000000-0005-0000-0000-000035010000}"/>
    <cellStyle name="Currency 17 2 3 2" xfId="3557" xr:uid="{698ABD08-7FF2-47CF-BB52-256DED7F0314}"/>
    <cellStyle name="Currency 17 2 3 3" xfId="4863" xr:uid="{E9EFF795-BE7C-43DE-A2B4-23033D5B90EC}"/>
    <cellStyle name="Currency 17 2 3 4" xfId="8073" xr:uid="{0FD23207-DA8F-44D9-AB22-0B0908EB8251}"/>
    <cellStyle name="Currency 17 2 4" xfId="1693" xr:uid="{00000000-0005-0000-0000-000036010000}"/>
    <cellStyle name="Currency 17 2 4 2" xfId="3794" xr:uid="{04AFB5CF-765A-47E9-8704-2D2DE593FEEA}"/>
    <cellStyle name="Currency 17 2 4 3" xfId="5114" xr:uid="{208245E7-E528-4223-9EBD-D9F67ECFCCDE}"/>
    <cellStyle name="Currency 17 2 4 4" xfId="8313" xr:uid="{337F2F1D-F2FC-4673-B8EA-7C653A0A4897}"/>
    <cellStyle name="Currency 17 2 5" xfId="1953" xr:uid="{00000000-0005-0000-0000-000037010000}"/>
    <cellStyle name="Currency 17 2 5 2" xfId="4058" xr:uid="{C7FDE85C-7ADC-4164-84B9-9530BFED658A}"/>
    <cellStyle name="Currency 17 2 5 3" xfId="5357" xr:uid="{22296AF6-9722-4D76-8C21-0DCD5938F217}"/>
    <cellStyle name="Currency 17 2 5 4" xfId="8549" xr:uid="{6DCF69EF-E8DD-4236-8167-53189979AAC4}"/>
    <cellStyle name="Currency 17 2 6" xfId="2208" xr:uid="{53F3D618-5A43-432E-8935-263540435D40}"/>
    <cellStyle name="Currency 17 2 6 2" xfId="5593" xr:uid="{0280E6EC-C331-451F-A908-7D11C8466A71}"/>
    <cellStyle name="Currency 17 2 6 3" xfId="8785" xr:uid="{C926ECD2-D3FA-45E0-91BD-C2CFC3E3812D}"/>
    <cellStyle name="Currency 17 2 7" xfId="2444" xr:uid="{293EBD0B-409F-47FE-A058-808ADF960FD9}"/>
    <cellStyle name="Currency 17 2 7 2" xfId="5823" xr:uid="{CA0C3C98-8781-4658-8F60-982DBE47A42B}"/>
    <cellStyle name="Currency 17 2 7 3" xfId="9015" xr:uid="{3637D9A5-2622-437A-98E6-E31E3B9C28F3}"/>
    <cellStyle name="Currency 17 2 8" xfId="2686" xr:uid="{9B7F6AC1-DF7F-425E-B4BB-F232DA8ABCFB}"/>
    <cellStyle name="Currency 17 2 8 2" xfId="6054" xr:uid="{C267D75E-E189-4557-8975-F78BCF8C7775}"/>
    <cellStyle name="Currency 17 2 8 3" xfId="9245" xr:uid="{2A5BF025-DFCB-40DA-B492-87E730BDCDD6}"/>
    <cellStyle name="Currency 17 2 9" xfId="2919" xr:uid="{2A634D54-F3F7-48D2-92BB-079E173AB085}"/>
    <cellStyle name="Currency 17 2 9 2" xfId="6287" xr:uid="{75E37D5E-B690-40FB-A792-82024F3E6D56}"/>
    <cellStyle name="Currency 17 2 9 3" xfId="9475" xr:uid="{2741818B-E051-4B17-B398-4E28BFAA1F6F}"/>
    <cellStyle name="Currency 17 20" xfId="11387" xr:uid="{678CF88D-D322-463B-A285-726D33BF142E}"/>
    <cellStyle name="Currency 17 21" xfId="11208" xr:uid="{BE1D9FCF-4CDD-4F56-8D5D-E985F0E2ECA3}"/>
    <cellStyle name="Currency 17 22" xfId="11827" xr:uid="{9B548762-8C7A-4F2A-8233-A9493BCDF6DC}"/>
    <cellStyle name="Currency 17 23" xfId="12028" xr:uid="{A096FD5B-A06E-48D7-A26F-97775ACC6063}"/>
    <cellStyle name="Currency 17 24" xfId="12379" xr:uid="{A447FEC0-AABD-46E3-80BC-6DEE8F7097E7}"/>
    <cellStyle name="Currency 17 25" xfId="12516" xr:uid="{CB1D803B-1F27-4342-9E71-07E106A3CFD1}"/>
    <cellStyle name="Currency 17 26" xfId="12327" xr:uid="{CE80E085-6149-478C-B393-9FF441F26776}"/>
    <cellStyle name="Currency 17 27" xfId="13073" xr:uid="{B6F8870D-94F3-4856-846B-967E017C8F2C}"/>
    <cellStyle name="Currency 17 28" xfId="13192" xr:uid="{E2450286-E906-42E7-9F94-62030D25D0D3}"/>
    <cellStyle name="Currency 17 3" xfId="1260" xr:uid="{00000000-0005-0000-0000-000038010000}"/>
    <cellStyle name="Currency 17 3 2" xfId="3371" xr:uid="{A43B6855-56AD-4A0E-868E-097CD61A32DC}"/>
    <cellStyle name="Currency 17 3 3" xfId="4677" xr:uid="{D77FA084-5DB7-4C68-848F-4A18E858E091}"/>
    <cellStyle name="Currency 17 3 4" xfId="7890" xr:uid="{95B59264-DCE0-4977-A545-B4FC0F052638}"/>
    <cellStyle name="Currency 17 4" xfId="1446" xr:uid="{00000000-0005-0000-0000-000039010000}"/>
    <cellStyle name="Currency 17 4 2" xfId="3556" xr:uid="{2A379F4C-8D33-484C-955D-181C1A7A8C51}"/>
    <cellStyle name="Currency 17 4 3" xfId="4862" xr:uid="{4A2F9C95-BEFB-4624-8BB4-AB89C4099A64}"/>
    <cellStyle name="Currency 17 4 4" xfId="8072" xr:uid="{C89E3FC8-AE80-4BAE-9F2A-469EE10D4F4C}"/>
    <cellStyle name="Currency 17 5" xfId="1692" xr:uid="{00000000-0005-0000-0000-00003A010000}"/>
    <cellStyle name="Currency 17 5 2" xfId="3793" xr:uid="{E23DBEF7-1036-43AE-9C2E-5E541383D063}"/>
    <cellStyle name="Currency 17 5 3" xfId="5113" xr:uid="{DF9F7369-4032-4CB3-88BA-35C2313AF93B}"/>
    <cellStyle name="Currency 17 5 4" xfId="8312" xr:uid="{AFA8A371-C19C-4E22-A3EC-69E2E4BF741B}"/>
    <cellStyle name="Currency 17 6" xfId="1952" xr:uid="{00000000-0005-0000-0000-00003B010000}"/>
    <cellStyle name="Currency 17 6 2" xfId="4057" xr:uid="{09A2A2FA-A5F8-4DD7-A3C2-D7835C73381F}"/>
    <cellStyle name="Currency 17 6 3" xfId="5356" xr:uid="{5F500542-A25F-416E-AC04-94D828DC494B}"/>
    <cellStyle name="Currency 17 6 4" xfId="8548" xr:uid="{0964C911-EC0B-4AF1-A9C1-81978A5D0C3A}"/>
    <cellStyle name="Currency 17 7" xfId="2207" xr:uid="{BE8400B0-F6FD-4E86-AC8F-7A6070CB577E}"/>
    <cellStyle name="Currency 17 7 2" xfId="5592" xr:uid="{2124D7DD-F7C6-4F14-AF08-EA349B697DD8}"/>
    <cellStyle name="Currency 17 7 3" xfId="8784" xr:uid="{8E3952BC-8B46-49DA-8A3D-F68A95DA251E}"/>
    <cellStyle name="Currency 17 8" xfId="2443" xr:uid="{29199E28-1306-4BE8-B0AA-8FA94E4885E9}"/>
    <cellStyle name="Currency 17 8 2" xfId="5822" xr:uid="{DDD37AAE-5F42-4D7B-86DA-0547CA29FBA3}"/>
    <cellStyle name="Currency 17 8 3" xfId="9014" xr:uid="{A56BEB13-8DC3-4FD0-954E-9C829473B71F}"/>
    <cellStyle name="Currency 17 9" xfId="2685" xr:uid="{BC42E2EE-699B-47E2-8E84-CA06B0F94990}"/>
    <cellStyle name="Currency 17 9 2" xfId="6053" xr:uid="{EDCDE654-38EB-4EF5-B607-CAAAA93792A5}"/>
    <cellStyle name="Currency 17 9 3" xfId="9244" xr:uid="{22617611-5C50-4601-80D4-545D5D91CED5}"/>
    <cellStyle name="Currency 18" xfId="257" xr:uid="{00000000-0005-0000-0000-00003C010000}"/>
    <cellStyle name="Currency 18 10" xfId="3133" xr:uid="{0DA4526D-B726-408B-B6A2-2FF32ED9639C}"/>
    <cellStyle name="Currency 18 10 2" xfId="6534" xr:uid="{8C8C8374-19B1-46A3-BEB9-C000756109A0}"/>
    <cellStyle name="Currency 18 10 3" xfId="9717" xr:uid="{B0ED338C-6040-4687-8576-5B1F2A6FD25B}"/>
    <cellStyle name="Currency 18 11" xfId="6795" xr:uid="{B563EB57-7E85-4E7C-9634-561DC4FD43CD}"/>
    <cellStyle name="Currency 18 11 2" xfId="9959" xr:uid="{86780EA2-A51B-4947-AD0F-379A92A98350}"/>
    <cellStyle name="Currency 18 12" xfId="7090" xr:uid="{2DC2BE3A-D0B6-4278-BE81-0A59FBEE234E}"/>
    <cellStyle name="Currency 18 12 2" xfId="10232" xr:uid="{9DA6F7B4-3B2F-427D-8B6D-A28FE61BC796}"/>
    <cellStyle name="Currency 18 13" xfId="7333" xr:uid="{14C0BE60-BE2D-45F5-B16B-2FB87551DDCD}"/>
    <cellStyle name="Currency 18 13 2" xfId="10471" xr:uid="{2AC0E44B-B989-42E0-B005-662C51F1DA39}"/>
    <cellStyle name="Currency 18 14" xfId="7445" xr:uid="{BC53C98A-FC3D-47E5-951C-123BF018815C}"/>
    <cellStyle name="Currency 18 14 2" xfId="10580" xr:uid="{612F83B4-8037-431E-A508-FE6DAA3D8BDA}"/>
    <cellStyle name="Currency 18 15" xfId="4364" xr:uid="{542D6B5D-DBC2-4771-A4E7-F18253E17EA6}"/>
    <cellStyle name="Currency 18 16" xfId="4473" xr:uid="{7441BF9C-7FE8-4815-9311-A7E5F5D22A97}"/>
    <cellStyle name="Currency 18 17" xfId="10938" xr:uid="{FDBADEFF-63DB-4C25-807C-92DC08235A2D}"/>
    <cellStyle name="Currency 18 18" xfId="11269" xr:uid="{BE3385F3-D1FC-425C-9749-A842BC3634BB}"/>
    <cellStyle name="Currency 18 19" xfId="11385" xr:uid="{789D8F81-733A-41AE-BE01-32DD082AC7F9}"/>
    <cellStyle name="Currency 18 2" xfId="1262" xr:uid="{00000000-0005-0000-0000-00003D010000}"/>
    <cellStyle name="Currency 18 2 2" xfId="3373" xr:uid="{83A115EA-7200-4BD6-A47E-067156B27EA7}"/>
    <cellStyle name="Currency 18 2 3" xfId="4679" xr:uid="{427E747F-500E-4EA0-BBE0-AC8B86B33167}"/>
    <cellStyle name="Currency 18 2 4" xfId="7892" xr:uid="{C7DB1B16-1F86-4BB4-B93E-E64596DAFD26}"/>
    <cellStyle name="Currency 18 20" xfId="11210" xr:uid="{C8ACD75C-2A71-4AA6-9C6B-C61E17D75488}"/>
    <cellStyle name="Currency 18 21" xfId="11829" xr:uid="{EA8F57BD-AF49-47F9-8737-0D681CE15428}"/>
    <cellStyle name="Currency 18 22" xfId="12030" xr:uid="{BE9B75A6-443A-410E-8FD4-F58B4343B446}"/>
    <cellStyle name="Currency 18 23" xfId="12381" xr:uid="{92BD0044-9815-422F-A34A-306446AB1AA4}"/>
    <cellStyle name="Currency 18 24" xfId="12514" xr:uid="{24C86597-9DF7-4CB7-8F66-7307CFF924BF}"/>
    <cellStyle name="Currency 18 25" xfId="12329" xr:uid="{CAD5E764-EB7F-491B-9BDC-D6B44B0467AD}"/>
    <cellStyle name="Currency 18 26" xfId="13075" xr:uid="{AFB33245-86E3-4C52-923B-351FC03B14DB}"/>
    <cellStyle name="Currency 18 27" xfId="13190" xr:uid="{E01CDCC3-B427-4EB3-AB8E-D488260E66DF}"/>
    <cellStyle name="Currency 18 3" xfId="1448" xr:uid="{00000000-0005-0000-0000-00003E010000}"/>
    <cellStyle name="Currency 18 3 2" xfId="3558" xr:uid="{C06A0240-67F4-4184-B430-4DE8583791A0}"/>
    <cellStyle name="Currency 18 3 3" xfId="4864" xr:uid="{76A70229-7971-4F26-AA08-C3DECB183A7D}"/>
    <cellStyle name="Currency 18 3 4" xfId="8074" xr:uid="{9CB53CC3-3482-4084-BD27-206DD80E6FD2}"/>
    <cellStyle name="Currency 18 4" xfId="1694" xr:uid="{00000000-0005-0000-0000-00003F010000}"/>
    <cellStyle name="Currency 18 4 2" xfId="3795" xr:uid="{146170F7-F10F-4296-8D41-C4A563B40BB8}"/>
    <cellStyle name="Currency 18 4 3" xfId="5115" xr:uid="{403C3B9B-9198-4350-B04B-9650948778E2}"/>
    <cellStyle name="Currency 18 4 4" xfId="8314" xr:uid="{9FC82BE1-2218-422F-BBB9-8AC6C045AFF1}"/>
    <cellStyle name="Currency 18 5" xfId="1954" xr:uid="{00000000-0005-0000-0000-000040010000}"/>
    <cellStyle name="Currency 18 5 2" xfId="4059" xr:uid="{74812DE5-0B5B-4336-970B-ACF0461F9DB3}"/>
    <cellStyle name="Currency 18 5 3" xfId="5358" xr:uid="{7783062C-EAFD-418E-B3A2-3A559A407188}"/>
    <cellStyle name="Currency 18 5 4" xfId="8550" xr:uid="{960C1EC6-8122-4C19-A101-B894D8217213}"/>
    <cellStyle name="Currency 18 6" xfId="2209" xr:uid="{CC7B7BCC-EF3D-4C69-B22D-2D1B0F2D3CAF}"/>
    <cellStyle name="Currency 18 6 2" xfId="5594" xr:uid="{B878B230-E864-4909-84E6-444B13743DB6}"/>
    <cellStyle name="Currency 18 6 3" xfId="8786" xr:uid="{D0CF03D4-1053-4426-ADF5-885A01178787}"/>
    <cellStyle name="Currency 18 7" xfId="2445" xr:uid="{1CDF25B7-8B30-4D75-8647-0AA763790704}"/>
    <cellStyle name="Currency 18 7 2" xfId="5824" xr:uid="{A3327EA1-92AE-4417-8B2B-3FB3C7DDE1E2}"/>
    <cellStyle name="Currency 18 7 3" xfId="9016" xr:uid="{47650314-034A-47D2-B26C-6E52133DD079}"/>
    <cellStyle name="Currency 18 8" xfId="2687" xr:uid="{6B087333-8680-461B-886B-635BD0C69654}"/>
    <cellStyle name="Currency 18 8 2" xfId="6055" xr:uid="{076190D2-9674-4D70-A8DE-E7EA2F0B0C52}"/>
    <cellStyle name="Currency 18 8 3" xfId="9246" xr:uid="{72F77045-3812-47B1-8E9A-3492E70581C2}"/>
    <cellStyle name="Currency 18 9" xfId="2920" xr:uid="{981CE4C2-6F99-440B-8E15-6B5017B4D823}"/>
    <cellStyle name="Currency 18 9 2" xfId="6288" xr:uid="{6F69913F-A44D-4F1F-A130-BEFEF1EC2E61}"/>
    <cellStyle name="Currency 18 9 3" xfId="9476" xr:uid="{0D64E2FB-D6EB-42E9-873C-DF1F81C5E50B}"/>
    <cellStyle name="Currency 19" xfId="258" xr:uid="{00000000-0005-0000-0000-000041010000}"/>
    <cellStyle name="Currency 19 10" xfId="3134" xr:uid="{0A45F1B9-40FE-4EB2-8667-3BEC7AF3CA4E}"/>
    <cellStyle name="Currency 19 10 2" xfId="6535" xr:uid="{1A3D13D0-AEE2-4CB7-9AB3-0E24D8DFBB94}"/>
    <cellStyle name="Currency 19 10 3" xfId="9718" xr:uid="{D94FF0F5-8471-47C0-BE82-60B69F76E48B}"/>
    <cellStyle name="Currency 19 11" xfId="6796" xr:uid="{982B467D-B47D-4B56-A969-762065880EA6}"/>
    <cellStyle name="Currency 19 11 2" xfId="9960" xr:uid="{61813418-4480-49C9-8875-BF4C2DA24AB3}"/>
    <cellStyle name="Currency 19 12" xfId="7091" xr:uid="{A64644EF-65C2-4DD2-A3D5-65CDF0D30F46}"/>
    <cellStyle name="Currency 19 12 2" xfId="10233" xr:uid="{BF3A9384-2A09-4A38-AF36-D925ED348302}"/>
    <cellStyle name="Currency 19 13" xfId="7334" xr:uid="{9C02F804-18AB-4EE3-8072-739D8729F581}"/>
    <cellStyle name="Currency 19 13 2" xfId="10472" xr:uid="{9484B9E6-926C-48A2-A550-57C169A73A2D}"/>
    <cellStyle name="Currency 19 14" xfId="7444" xr:uid="{65EA9AA2-525C-4C96-A464-5F6231789E54}"/>
    <cellStyle name="Currency 19 14 2" xfId="10579" xr:uid="{EC2C8894-D79C-4DA0-891F-9630F61D4CB4}"/>
    <cellStyle name="Currency 19 15" xfId="4365" xr:uid="{3A5DEF6A-9753-4A2C-8B0E-BE2CB66626D9}"/>
    <cellStyle name="Currency 19 16" xfId="4472" xr:uid="{A1E4F696-0C48-4550-B9D4-9F0CF8844712}"/>
    <cellStyle name="Currency 19 17" xfId="10939" xr:uid="{D27F4318-7AB7-4CD1-BC40-FFBC9A12E10A}"/>
    <cellStyle name="Currency 19 18" xfId="11270" xr:uid="{D036C20F-DFCF-4CF5-B9AE-5DCD28814853}"/>
    <cellStyle name="Currency 19 19" xfId="11384" xr:uid="{3389C0CC-4F3E-4101-804B-2FE91E6F5E48}"/>
    <cellStyle name="Currency 19 2" xfId="1263" xr:uid="{00000000-0005-0000-0000-000042010000}"/>
    <cellStyle name="Currency 19 2 2" xfId="3374" xr:uid="{CA4D85EF-7621-443F-80FC-8C97005C05C6}"/>
    <cellStyle name="Currency 19 2 3" xfId="4680" xr:uid="{A956F6E7-3400-4554-855C-33B8ABE5E818}"/>
    <cellStyle name="Currency 19 2 4" xfId="7893" xr:uid="{C0906B57-7421-498E-BCE5-711515BF3F85}"/>
    <cellStyle name="Currency 19 20" xfId="11211" xr:uid="{43242240-E5A9-4ED8-B591-7234DD2D6979}"/>
    <cellStyle name="Currency 19 21" xfId="11830" xr:uid="{77BB805A-1383-413A-9D6A-54CDFA1CAEC5}"/>
    <cellStyle name="Currency 19 22" xfId="12031" xr:uid="{F62CC4EB-E15C-4B8E-99F1-CB65E46CFE1F}"/>
    <cellStyle name="Currency 19 23" xfId="12382" xr:uid="{0E0D1B87-7AEF-4E22-9708-B5AAB42FBAD1}"/>
    <cellStyle name="Currency 19 24" xfId="12513" xr:uid="{ECCEFB6F-FBDC-4406-818F-47605A9E89D4}"/>
    <cellStyle name="Currency 19 25" xfId="12330" xr:uid="{B0B914AD-5EA2-4D4A-8B53-59CE4760295C}"/>
    <cellStyle name="Currency 19 26" xfId="13076" xr:uid="{54A31535-F565-4A2C-A058-1A21300BBC3D}"/>
    <cellStyle name="Currency 19 27" xfId="13189" xr:uid="{58F00F24-EBA0-4841-9713-6FBD26191937}"/>
    <cellStyle name="Currency 19 3" xfId="1449" xr:uid="{00000000-0005-0000-0000-000043010000}"/>
    <cellStyle name="Currency 19 3 2" xfId="3559" xr:uid="{EA516A15-F2A6-47E6-A219-B6701DF3C6D6}"/>
    <cellStyle name="Currency 19 3 3" xfId="4865" xr:uid="{0763DD34-C999-4E33-B391-D21C3DF648F6}"/>
    <cellStyle name="Currency 19 3 4" xfId="8075" xr:uid="{2E688CCC-F31C-4E0C-9EE9-3E01DD34F0D5}"/>
    <cellStyle name="Currency 19 4" xfId="1695" xr:uid="{00000000-0005-0000-0000-000044010000}"/>
    <cellStyle name="Currency 19 4 2" xfId="3796" xr:uid="{12F312FF-A38C-4567-8E48-7BF46F19B94B}"/>
    <cellStyle name="Currency 19 4 3" xfId="5116" xr:uid="{4E3DC2FC-65E0-42D6-AA21-247FC1206BCB}"/>
    <cellStyle name="Currency 19 4 4" xfId="8315" xr:uid="{6FAA45A8-CA05-4323-9DC4-F73984428F40}"/>
    <cellStyle name="Currency 19 5" xfId="1955" xr:uid="{00000000-0005-0000-0000-000045010000}"/>
    <cellStyle name="Currency 19 5 2" xfId="4060" xr:uid="{B4498B10-4B6C-4884-B850-7740734FFCAC}"/>
    <cellStyle name="Currency 19 5 3" xfId="5359" xr:uid="{8743218A-D52E-413D-B6E7-72C6FCAB7291}"/>
    <cellStyle name="Currency 19 5 4" xfId="8551" xr:uid="{894B4CFB-599B-4E72-BF55-545BD67C3FEA}"/>
    <cellStyle name="Currency 19 6" xfId="2210" xr:uid="{CC066CEE-177F-4CF4-9566-F72D551ABE2A}"/>
    <cellStyle name="Currency 19 6 2" xfId="5595" xr:uid="{38419AC2-D201-43B3-A3B3-7C5F1DD59789}"/>
    <cellStyle name="Currency 19 6 3" xfId="8787" xr:uid="{89218FD9-03C7-4A3F-91D3-280155C6B1B7}"/>
    <cellStyle name="Currency 19 7" xfId="2446" xr:uid="{A2821492-7725-4FBE-BEE5-6C54F5D65CD6}"/>
    <cellStyle name="Currency 19 7 2" xfId="5825" xr:uid="{803E60FB-3F51-4190-BA92-DFBBAE5C248B}"/>
    <cellStyle name="Currency 19 7 3" xfId="9017" xr:uid="{F81362F9-6F7A-415E-B864-58759D4DFA7C}"/>
    <cellStyle name="Currency 19 8" xfId="2688" xr:uid="{BE9E1F73-6374-4C5E-8268-C44F78C5B4BE}"/>
    <cellStyle name="Currency 19 8 2" xfId="6056" xr:uid="{DB43E1E5-42A1-45F8-9532-FF1E54999A39}"/>
    <cellStyle name="Currency 19 8 3" xfId="9247" xr:uid="{D18BB0F6-8FC8-455D-8C0E-9350E4EAA0DD}"/>
    <cellStyle name="Currency 19 9" xfId="2921" xr:uid="{2F5205AD-9162-4496-99A1-6707C4BCB720}"/>
    <cellStyle name="Currency 19 9 2" xfId="6289" xr:uid="{F90803F5-7FCB-46FA-B2C3-E77B0F0E9EF4}"/>
    <cellStyle name="Currency 19 9 3" xfId="9477" xr:uid="{8D2E19CD-2CCD-4E38-8ADA-7716C2D32D22}"/>
    <cellStyle name="Currency 2" xfId="259" xr:uid="{00000000-0005-0000-0000-000046010000}"/>
    <cellStyle name="Currency 2 10" xfId="2922" xr:uid="{FFBEBE1F-ECF4-48F6-8E54-BACDAD0C64D8}"/>
    <cellStyle name="Currency 2 10 2" xfId="6290" xr:uid="{1FCEA3C6-DEAE-4613-8D12-AA5A775FFF6B}"/>
    <cellStyle name="Currency 2 10 3" xfId="9478" xr:uid="{4833FE0C-7C46-4F97-AB65-C0DE5A170465}"/>
    <cellStyle name="Currency 2 11" xfId="3135" xr:uid="{F9A8AD9A-882A-49FD-B18C-D78CC764FE69}"/>
    <cellStyle name="Currency 2 11 2" xfId="6536" xr:uid="{B086EF1A-43A3-4587-8BEA-CA5CEF76F7C0}"/>
    <cellStyle name="Currency 2 11 3" xfId="9719" xr:uid="{77BF19BC-1FDF-4CB8-AC95-0B8551164397}"/>
    <cellStyle name="Currency 2 12" xfId="6797" xr:uid="{DFAFECAF-9ED1-4C6C-9B39-30A3B2E298C5}"/>
    <cellStyle name="Currency 2 12 2" xfId="9961" xr:uid="{9BBB8F65-D549-4550-A513-5AF1A3EE3146}"/>
    <cellStyle name="Currency 2 13" xfId="7092" xr:uid="{300CE8A4-F441-4996-B8A7-C15FAB11D83A}"/>
    <cellStyle name="Currency 2 13 2" xfId="10234" xr:uid="{2F03DBC3-3975-4172-AFCB-3CB09D6708C9}"/>
    <cellStyle name="Currency 2 14" xfId="7335" xr:uid="{D3440993-629C-4C6F-B05B-BBD773857BF8}"/>
    <cellStyle name="Currency 2 14 2" xfId="10473" xr:uid="{1E1B3AE7-E121-4DF6-8D80-436644FCF67F}"/>
    <cellStyle name="Currency 2 15" xfId="7443" xr:uid="{0A078B37-CE50-472B-84AA-21C1CA3FCA36}"/>
    <cellStyle name="Currency 2 15 2" xfId="10578" xr:uid="{D33B2148-1A15-4E47-B2D1-3E5DF11C09CF}"/>
    <cellStyle name="Currency 2 16" xfId="4366" xr:uid="{A82BE78E-CF9C-418E-87DC-8197D6634433}"/>
    <cellStyle name="Currency 2 17" xfId="4471" xr:uid="{846ED02B-6389-45AE-A716-F523B4570F2F}"/>
    <cellStyle name="Currency 2 18" xfId="10940" xr:uid="{BA980A2E-C2DE-4190-A18A-54E95BC945F3}"/>
    <cellStyle name="Currency 2 19" xfId="11271" xr:uid="{D2F28D2F-7965-4EF3-BEBF-4418679C77D2}"/>
    <cellStyle name="Currency 2 2" xfId="260" xr:uid="{00000000-0005-0000-0000-000047010000}"/>
    <cellStyle name="Currency 2 2 10" xfId="3136" xr:uid="{FF1BA667-AF15-4B64-882C-E5DEDB144100}"/>
    <cellStyle name="Currency 2 2 10 2" xfId="6537" xr:uid="{EA3DD488-651F-469B-B0D7-3C5AF12A3035}"/>
    <cellStyle name="Currency 2 2 10 3" xfId="9720" xr:uid="{726AD675-5253-41F4-A844-B5090D3AE2B3}"/>
    <cellStyle name="Currency 2 2 11" xfId="6798" xr:uid="{D1B58868-D078-4344-9C2B-2E1473D4CC56}"/>
    <cellStyle name="Currency 2 2 11 2" xfId="9962" xr:uid="{F9964943-F8BF-4852-B48F-49876975D820}"/>
    <cellStyle name="Currency 2 2 12" xfId="7093" xr:uid="{9748BDC8-58E9-45AE-8F2C-77B95D32284B}"/>
    <cellStyle name="Currency 2 2 12 2" xfId="10235" xr:uid="{C1EABD7F-0A58-49E4-A88E-3BC8D024EDA6}"/>
    <cellStyle name="Currency 2 2 13" xfId="7336" xr:uid="{772ADCC6-3470-4364-B83D-2404B7C7FBF1}"/>
    <cellStyle name="Currency 2 2 13 2" xfId="10474" xr:uid="{0FB27EAD-70ED-41B7-8D15-0A4C20CC42D1}"/>
    <cellStyle name="Currency 2 2 14" xfId="7442" xr:uid="{0B6A7020-325D-4C8B-92C2-098EAD96D220}"/>
    <cellStyle name="Currency 2 2 14 2" xfId="10577" xr:uid="{D3B58E3E-22CA-4365-A04F-31493E27C085}"/>
    <cellStyle name="Currency 2 2 15" xfId="4367" xr:uid="{C79AE676-726C-445E-A543-F892A06CA89A}"/>
    <cellStyle name="Currency 2 2 16" xfId="4470" xr:uid="{A97D8A6A-A227-434B-BB6D-E2C8E92112FC}"/>
    <cellStyle name="Currency 2 2 17" xfId="10941" xr:uid="{0B71DC26-B68C-45BF-A2C4-8A5BF813096F}"/>
    <cellStyle name="Currency 2 2 18" xfId="11272" xr:uid="{50CE866F-F212-4B0B-9F21-64944ACB633E}"/>
    <cellStyle name="Currency 2 2 19" xfId="11382" xr:uid="{C04A8C70-E237-4088-8F9C-847BFA5BA0E2}"/>
    <cellStyle name="Currency 2 2 2" xfId="1265" xr:uid="{00000000-0005-0000-0000-000048010000}"/>
    <cellStyle name="Currency 2 2 2 2" xfId="3376" xr:uid="{2447370C-87E0-4307-8B7B-49AD60AA26A0}"/>
    <cellStyle name="Currency 2 2 2 3" xfId="4682" xr:uid="{2ECA0A67-E185-4ACF-B91E-C489AF28FF62}"/>
    <cellStyle name="Currency 2 2 2 4" xfId="7895" xr:uid="{45B58BD5-A696-4FA2-9BD4-86A2A7A435DD}"/>
    <cellStyle name="Currency 2 2 20" xfId="11213" xr:uid="{272D5EDE-B17B-4E92-9B91-AEE7FA1E3424}"/>
    <cellStyle name="Currency 2 2 21" xfId="11832" xr:uid="{690D228D-D4AE-4584-8F5D-AD8B572EFE81}"/>
    <cellStyle name="Currency 2 2 22" xfId="12033" xr:uid="{20D779E5-BC55-4190-A0EB-7104833EEA78}"/>
    <cellStyle name="Currency 2 2 23" xfId="12384" xr:uid="{52097F8B-822B-4BF0-87BD-D474218B8AC7}"/>
    <cellStyle name="Currency 2 2 24" xfId="12511" xr:uid="{679CAD6D-A4AD-4C8A-8FBA-9C2774214182}"/>
    <cellStyle name="Currency 2 2 25" xfId="12332" xr:uid="{1C49FFA9-ED1B-40E8-8C88-DDA134D758F6}"/>
    <cellStyle name="Currency 2 2 26" xfId="13078" xr:uid="{A112EA45-6405-40A2-9C7B-4FC042F82A57}"/>
    <cellStyle name="Currency 2 2 27" xfId="13187" xr:uid="{41F24C46-97DB-46AF-B95C-9B50E3F324DC}"/>
    <cellStyle name="Currency 2 2 3" xfId="1451" xr:uid="{00000000-0005-0000-0000-000049010000}"/>
    <cellStyle name="Currency 2 2 3 2" xfId="3561" xr:uid="{5B1A3506-BCFC-4335-A1F4-BCD3FB42627B}"/>
    <cellStyle name="Currency 2 2 3 3" xfId="4867" xr:uid="{3B0A2176-CFF2-42FD-851F-0C23411087A2}"/>
    <cellStyle name="Currency 2 2 3 4" xfId="8077" xr:uid="{49419195-E750-4251-962F-C56BABD3C9B5}"/>
    <cellStyle name="Currency 2 2 4" xfId="1697" xr:uid="{00000000-0005-0000-0000-00004A010000}"/>
    <cellStyle name="Currency 2 2 4 2" xfId="3798" xr:uid="{4733FBBB-BE00-466D-88D0-FDD65ADB547A}"/>
    <cellStyle name="Currency 2 2 4 3" xfId="5118" xr:uid="{1F154E5E-6382-4719-B2A2-D8D6E72C4828}"/>
    <cellStyle name="Currency 2 2 4 4" xfId="8317" xr:uid="{22AE9DB4-D1F5-4B59-8824-09A89ED8E6BB}"/>
    <cellStyle name="Currency 2 2 5" xfId="1957" xr:uid="{00000000-0005-0000-0000-00004B010000}"/>
    <cellStyle name="Currency 2 2 5 2" xfId="4062" xr:uid="{8BF451D9-3C9B-4B48-93B0-EAB32338F330}"/>
    <cellStyle name="Currency 2 2 5 3" xfId="5361" xr:uid="{560248AC-23E6-4BF0-AFBA-DDE3B9E43233}"/>
    <cellStyle name="Currency 2 2 5 4" xfId="8553" xr:uid="{43C441AA-4DBD-4953-AC34-4A600F0AFCF0}"/>
    <cellStyle name="Currency 2 2 6" xfId="2212" xr:uid="{5FFB5EF0-C644-4CDA-931D-120B82D58AB7}"/>
    <cellStyle name="Currency 2 2 6 2" xfId="5597" xr:uid="{814381FE-A062-4E73-9632-5A0B3DEE3F22}"/>
    <cellStyle name="Currency 2 2 6 3" xfId="8789" xr:uid="{025A48C3-28A8-4F45-970D-1AE799E6DFFB}"/>
    <cellStyle name="Currency 2 2 7" xfId="2448" xr:uid="{98F5B772-4810-4AF1-AA4C-053851663AB4}"/>
    <cellStyle name="Currency 2 2 7 2" xfId="5827" xr:uid="{4F632B8D-CB81-4346-82E9-4A79613DCB89}"/>
    <cellStyle name="Currency 2 2 7 3" xfId="9019" xr:uid="{2D46C090-A5D5-4152-820C-6FD0CF424210}"/>
    <cellStyle name="Currency 2 2 8" xfId="2690" xr:uid="{DF636157-BDF3-4A6E-98D8-FB44F0F2885C}"/>
    <cellStyle name="Currency 2 2 8 2" xfId="6058" xr:uid="{38AA861C-B713-4862-9540-8AC514D21DB7}"/>
    <cellStyle name="Currency 2 2 8 3" xfId="9249" xr:uid="{A76B50CE-E5EA-4B84-A857-85F8C0514A97}"/>
    <cellStyle name="Currency 2 2 9" xfId="2923" xr:uid="{6844DB1F-5EC5-4C58-BCE7-A3BB6736B5A0}"/>
    <cellStyle name="Currency 2 2 9 2" xfId="6291" xr:uid="{A820A108-7DAA-4A73-A2B7-238C2651DBEC}"/>
    <cellStyle name="Currency 2 2 9 3" xfId="9479" xr:uid="{A27B2CDF-7D30-4112-96F0-CCCEBF8C01FB}"/>
    <cellStyle name="Currency 2 20" xfId="11383" xr:uid="{D417A277-B9F4-4CF2-B2AB-CA8D378DB190}"/>
    <cellStyle name="Currency 2 21" xfId="11212" xr:uid="{30304768-18E6-45A8-8C3C-7459B2F2F258}"/>
    <cellStyle name="Currency 2 22" xfId="11831" xr:uid="{BAF336E5-1F27-4326-8209-AB3A9730273C}"/>
    <cellStyle name="Currency 2 23" xfId="12032" xr:uid="{1C2764EC-ED3D-43DE-9F63-7F4F88034625}"/>
    <cellStyle name="Currency 2 24" xfId="12383" xr:uid="{751B48EC-2B7D-4FAB-B0D9-BD8D1D051B11}"/>
    <cellStyle name="Currency 2 25" xfId="12512" xr:uid="{B01CC8B5-1C9D-4C2B-A752-8164BA8D9791}"/>
    <cellStyle name="Currency 2 26" xfId="12331" xr:uid="{32AC87F8-AEDD-44CF-AA7E-76AFE5A991F0}"/>
    <cellStyle name="Currency 2 27" xfId="13077" xr:uid="{7DAAB72C-2226-4AD8-81CC-3ED0EEFBBE8C}"/>
    <cellStyle name="Currency 2 28" xfId="13188" xr:uid="{7936BE39-CEFF-4D90-813E-CF5A64635287}"/>
    <cellStyle name="Currency 2 3" xfId="1264" xr:uid="{00000000-0005-0000-0000-00004C010000}"/>
    <cellStyle name="Currency 2 3 2" xfId="3375" xr:uid="{884EDE3B-67FB-40F7-8FCB-F4E83F56EF1E}"/>
    <cellStyle name="Currency 2 3 3" xfId="4681" xr:uid="{B7ABDA45-21A4-4696-B05F-0E3ECE631B86}"/>
    <cellStyle name="Currency 2 3 4" xfId="7894" xr:uid="{7B9C08D7-3CA0-4F89-AE68-9F213333535A}"/>
    <cellStyle name="Currency 2 4" xfId="1450" xr:uid="{00000000-0005-0000-0000-00004D010000}"/>
    <cellStyle name="Currency 2 4 2" xfId="3560" xr:uid="{F8B3EC17-D93B-4EB6-9102-16BFA69AE2C2}"/>
    <cellStyle name="Currency 2 4 3" xfId="4866" xr:uid="{23B87E32-AC58-44F5-8D1C-76872A4FE1AE}"/>
    <cellStyle name="Currency 2 4 4" xfId="8076" xr:uid="{F2EA4916-F452-4C25-99A4-ED12B0ABBD85}"/>
    <cellStyle name="Currency 2 5" xfId="1696" xr:uid="{00000000-0005-0000-0000-00004E010000}"/>
    <cellStyle name="Currency 2 5 2" xfId="3797" xr:uid="{482A4501-8855-4F52-832E-C20A296D6480}"/>
    <cellStyle name="Currency 2 5 3" xfId="5117" xr:uid="{4A4FC3E1-400A-46CE-9CB4-D2C958903B92}"/>
    <cellStyle name="Currency 2 5 4" xfId="8316" xr:uid="{0A251C63-A5AC-4CE3-82B1-849B113A0CCB}"/>
    <cellStyle name="Currency 2 6" xfId="1956" xr:uid="{00000000-0005-0000-0000-00004F010000}"/>
    <cellStyle name="Currency 2 6 2" xfId="4061" xr:uid="{D73F93FD-04B7-477A-8CE0-3B848AFE335C}"/>
    <cellStyle name="Currency 2 6 3" xfId="5360" xr:uid="{B0501088-0817-4101-8CF8-B3FA4D84194A}"/>
    <cellStyle name="Currency 2 6 4" xfId="8552" xr:uid="{BAFF0246-311D-4A24-9B53-9A4C80FB1699}"/>
    <cellStyle name="Currency 2 7" xfId="2211" xr:uid="{F2A96E03-3306-4EE7-83DE-D1251C8A7F64}"/>
    <cellStyle name="Currency 2 7 2" xfId="5596" xr:uid="{7AFDC2ED-0A19-4EF5-B0E1-BB4BE9B5CBBF}"/>
    <cellStyle name="Currency 2 7 3" xfId="8788" xr:uid="{3A8427FB-6DDC-441F-ADD3-42C6FE149E05}"/>
    <cellStyle name="Currency 2 8" xfId="2447" xr:uid="{BA6FBB15-3177-4749-96C4-C082F3C32A1D}"/>
    <cellStyle name="Currency 2 8 2" xfId="5826" xr:uid="{E71D0899-3575-48C8-B1DD-E1909CADD821}"/>
    <cellStyle name="Currency 2 8 3" xfId="9018" xr:uid="{FA1AD715-FF53-4A14-BEEE-77EE65D7700D}"/>
    <cellStyle name="Currency 2 9" xfId="2689" xr:uid="{45E9CF8B-909B-49F5-B029-E3CC97DFFCDE}"/>
    <cellStyle name="Currency 2 9 2" xfId="6057" xr:uid="{601712CF-AEA4-40E0-91E1-DD6E1247BF6D}"/>
    <cellStyle name="Currency 2 9 3" xfId="9248" xr:uid="{AE6BA907-F410-463F-9802-BB42C760E47B}"/>
    <cellStyle name="Currency 20" xfId="261" xr:uid="{00000000-0005-0000-0000-000050010000}"/>
    <cellStyle name="Currency 20 10" xfId="3137" xr:uid="{351A3503-1AB9-49D1-9B81-85CBD12E7D10}"/>
    <cellStyle name="Currency 20 10 2" xfId="6538" xr:uid="{F06BBABA-ACE5-4B00-9031-1CB9C4187DF0}"/>
    <cellStyle name="Currency 20 10 3" xfId="9721" xr:uid="{6C577F13-0570-4832-B926-598BE3DEE474}"/>
    <cellStyle name="Currency 20 11" xfId="6799" xr:uid="{C46AEA29-6953-4CD2-B76F-9CFF091DBE15}"/>
    <cellStyle name="Currency 20 11 2" xfId="9963" xr:uid="{23440264-2934-4491-B7C6-B379D03EC3E0}"/>
    <cellStyle name="Currency 20 12" xfId="7094" xr:uid="{51585952-41B4-4396-AC83-AA2E319E781C}"/>
    <cellStyle name="Currency 20 12 2" xfId="10236" xr:uid="{F2786A16-A977-4C37-A87C-71331E34D5D7}"/>
    <cellStyle name="Currency 20 13" xfId="7337" xr:uid="{ACA15651-FD37-49CC-B8C5-37BF997CED0C}"/>
    <cellStyle name="Currency 20 13 2" xfId="10475" xr:uid="{9F854689-4480-42CC-BB5E-91DA6F3D02F6}"/>
    <cellStyle name="Currency 20 14" xfId="7441" xr:uid="{A6DFBF6B-FCAD-4786-A0D1-E5E2234E0BA0}"/>
    <cellStyle name="Currency 20 14 2" xfId="10576" xr:uid="{C082B4F6-06F4-4A2E-B165-3C316650BFCB}"/>
    <cellStyle name="Currency 20 15" xfId="4368" xr:uid="{A7588A0C-CDAD-4BD6-A024-E4F9A813F552}"/>
    <cellStyle name="Currency 20 16" xfId="4469" xr:uid="{934E7B69-6FC8-47C3-A9C6-8C693E299243}"/>
    <cellStyle name="Currency 20 17" xfId="10942" xr:uid="{C1F2636A-6975-42E5-B191-339F5A11EA30}"/>
    <cellStyle name="Currency 20 18" xfId="11273" xr:uid="{A332EF71-1B83-4CD5-9B48-CE9905F33E55}"/>
    <cellStyle name="Currency 20 19" xfId="11381" xr:uid="{8795FC11-BCCB-4806-B5DB-7C13F3C814F2}"/>
    <cellStyle name="Currency 20 2" xfId="1266" xr:uid="{00000000-0005-0000-0000-000051010000}"/>
    <cellStyle name="Currency 20 2 2" xfId="3377" xr:uid="{CEB965CB-DDE9-4302-AC35-F1C9E9C33E8C}"/>
    <cellStyle name="Currency 20 2 3" xfId="4683" xr:uid="{9DCBB734-2287-4684-B77E-EF9CA607830E}"/>
    <cellStyle name="Currency 20 2 4" xfId="7896" xr:uid="{464AC23C-CF78-4883-B20B-4CC4F697020F}"/>
    <cellStyle name="Currency 20 20" xfId="11214" xr:uid="{0A675674-05E0-494C-A51D-2D898910CB47}"/>
    <cellStyle name="Currency 20 21" xfId="11833" xr:uid="{2BABFC73-F1B9-4A96-9BF4-532243AEA07D}"/>
    <cellStyle name="Currency 20 22" xfId="12034" xr:uid="{A47F3C86-C989-458E-B2A2-D4A0594A1CC1}"/>
    <cellStyle name="Currency 20 23" xfId="12385" xr:uid="{D269ADC3-CE18-4A37-8BC2-338966237EE5}"/>
    <cellStyle name="Currency 20 24" xfId="12510" xr:uid="{A492ECDF-5962-4FDC-9524-C873C44A3F2C}"/>
    <cellStyle name="Currency 20 25" xfId="12333" xr:uid="{F6DE3BA1-6790-414C-94E7-F38CBCAC31CF}"/>
    <cellStyle name="Currency 20 26" xfId="13079" xr:uid="{26BD0F8C-85EB-4E70-9C5E-3B60591ED8B1}"/>
    <cellStyle name="Currency 20 27" xfId="13186" xr:uid="{701AD5CD-F121-432E-BA84-51C3B4FC6874}"/>
    <cellStyle name="Currency 20 3" xfId="1452" xr:uid="{00000000-0005-0000-0000-000052010000}"/>
    <cellStyle name="Currency 20 3 2" xfId="3562" xr:uid="{A3F31786-86DC-44C2-85DF-D930F78DF5A5}"/>
    <cellStyle name="Currency 20 3 3" xfId="4868" xr:uid="{91C44594-3805-4D6F-B8CE-E5DDA89D8ACC}"/>
    <cellStyle name="Currency 20 3 4" xfId="8078" xr:uid="{C5DD0C21-874B-4445-AF07-94A8EB17F768}"/>
    <cellStyle name="Currency 20 4" xfId="1698" xr:uid="{00000000-0005-0000-0000-000053010000}"/>
    <cellStyle name="Currency 20 4 2" xfId="3799" xr:uid="{13161241-A14E-4957-9573-9B7B8FD70957}"/>
    <cellStyle name="Currency 20 4 3" xfId="5119" xr:uid="{4F6468D4-1BF3-480E-821B-C40D774E95D5}"/>
    <cellStyle name="Currency 20 4 4" xfId="8318" xr:uid="{D93B1E26-28A2-4A84-A200-E0F7928B6367}"/>
    <cellStyle name="Currency 20 5" xfId="1958" xr:uid="{00000000-0005-0000-0000-000054010000}"/>
    <cellStyle name="Currency 20 5 2" xfId="4063" xr:uid="{031BDDD6-9E1B-4FE4-96F5-6AA809349F78}"/>
    <cellStyle name="Currency 20 5 3" xfId="5362" xr:uid="{CD01D125-465C-4E11-BF4D-D57C4F5314F1}"/>
    <cellStyle name="Currency 20 5 4" xfId="8554" xr:uid="{EE1E9C3E-C1A6-498A-B759-75E55DB1F259}"/>
    <cellStyle name="Currency 20 6" xfId="2213" xr:uid="{6A588D5D-2933-4785-96C3-7427677EFC50}"/>
    <cellStyle name="Currency 20 6 2" xfId="5598" xr:uid="{EBEFEEE9-770C-48AB-8C64-536F9E66017D}"/>
    <cellStyle name="Currency 20 6 3" xfId="8790" xr:uid="{AE9B2AB1-9E6B-4C62-B667-13ACB727F976}"/>
    <cellStyle name="Currency 20 7" xfId="2449" xr:uid="{EA3B83D2-2FD1-4485-B67F-FAE48C1418B0}"/>
    <cellStyle name="Currency 20 7 2" xfId="5828" xr:uid="{D52DD771-474E-4ACC-A70D-CF92A6F65E39}"/>
    <cellStyle name="Currency 20 7 3" xfId="9020" xr:uid="{C35DCF1F-1F84-4C3D-B1C4-6F21B139EA96}"/>
    <cellStyle name="Currency 20 8" xfId="2691" xr:uid="{693E032F-82A3-4637-8F8F-8F9A097DEBEE}"/>
    <cellStyle name="Currency 20 8 2" xfId="6059" xr:uid="{E4DF403F-C2E4-48D4-96A5-A68052567C3D}"/>
    <cellStyle name="Currency 20 8 3" xfId="9250" xr:uid="{7958D3F6-E7DA-4652-B043-1B6FDDEAB869}"/>
    <cellStyle name="Currency 20 9" xfId="2924" xr:uid="{E89E1161-D1A2-4F7B-94CB-82F108B2E386}"/>
    <cellStyle name="Currency 20 9 2" xfId="6292" xr:uid="{E045DB3C-9E9B-467B-8BA4-12995C7F9082}"/>
    <cellStyle name="Currency 20 9 3" xfId="9480" xr:uid="{EBE94271-5BCB-4E1E-A1EA-DD9143D7A712}"/>
    <cellStyle name="Currency 21" xfId="262" xr:uid="{00000000-0005-0000-0000-000055010000}"/>
    <cellStyle name="Currency 21 10" xfId="3138" xr:uid="{767027EF-1F02-4916-AAAC-2B1D5BC69F01}"/>
    <cellStyle name="Currency 21 10 2" xfId="6539" xr:uid="{C5138EE6-8935-4EA9-83BD-89FDEBFD275E}"/>
    <cellStyle name="Currency 21 10 3" xfId="9722" xr:uid="{33367243-9B05-4488-9FB0-D4F3CB79A272}"/>
    <cellStyle name="Currency 21 11" xfId="6800" xr:uid="{53FA1A73-C9F2-45F4-8B90-4F57137FF408}"/>
    <cellStyle name="Currency 21 11 2" xfId="9964" xr:uid="{5C02DC7B-8BC8-4E00-AA67-7361F411162D}"/>
    <cellStyle name="Currency 21 12" xfId="7095" xr:uid="{F180B44F-FD4A-427A-A4F1-6AEB4A77B803}"/>
    <cellStyle name="Currency 21 12 2" xfId="10237" xr:uid="{38CAD29A-B469-4F36-9F90-7F8F2F6560C4}"/>
    <cellStyle name="Currency 21 13" xfId="7338" xr:uid="{4748D416-B130-4E04-A773-592C591B3F33}"/>
    <cellStyle name="Currency 21 13 2" xfId="10476" xr:uid="{E2728C92-928D-4CD3-96D0-E4F9913192E8}"/>
    <cellStyle name="Currency 21 14" xfId="7440" xr:uid="{F97CCB62-B552-4794-84C8-6FF2609DA66B}"/>
    <cellStyle name="Currency 21 14 2" xfId="10575" xr:uid="{9A5E73DB-5730-441D-8E78-A87E48150261}"/>
    <cellStyle name="Currency 21 15" xfId="4369" xr:uid="{F21D7FB7-245B-46DC-A604-E577792BC605}"/>
    <cellStyle name="Currency 21 16" xfId="4468" xr:uid="{7E13C4D7-351E-4C1D-B848-2871E4C02F9C}"/>
    <cellStyle name="Currency 21 17" xfId="10943" xr:uid="{795B515F-9360-43E8-BBEB-3B60B2D8648A}"/>
    <cellStyle name="Currency 21 18" xfId="11274" xr:uid="{E833C3D2-8AB9-44AD-A34D-0F5196B1D840}"/>
    <cellStyle name="Currency 21 19" xfId="11380" xr:uid="{BF0B4920-7293-400E-AFEB-537A04FDE904}"/>
    <cellStyle name="Currency 21 2" xfId="1267" xr:uid="{00000000-0005-0000-0000-000056010000}"/>
    <cellStyle name="Currency 21 2 2" xfId="3378" xr:uid="{79C790F5-2531-4742-98EF-A335FEFDA087}"/>
    <cellStyle name="Currency 21 2 3" xfId="4684" xr:uid="{D1D86802-E91F-404C-BF04-C72C6AEF379A}"/>
    <cellStyle name="Currency 21 2 4" xfId="7897" xr:uid="{59B3471D-D17C-4E01-A593-442B2008655A}"/>
    <cellStyle name="Currency 21 20" xfId="11215" xr:uid="{3040BDA4-B052-4E5C-BA92-8A0660443EC0}"/>
    <cellStyle name="Currency 21 21" xfId="11834" xr:uid="{0A766A6E-8089-41C1-A20A-BC58E147217E}"/>
    <cellStyle name="Currency 21 22" xfId="12035" xr:uid="{4EEAEE06-B1F8-45AF-9110-9EB5B4D619A4}"/>
    <cellStyle name="Currency 21 23" xfId="12386" xr:uid="{C3B595AD-D57B-462C-AC8E-CF487E1D3A54}"/>
    <cellStyle name="Currency 21 24" xfId="12509" xr:uid="{E6A741F7-6820-4CA5-84DE-F8603BCB6DCC}"/>
    <cellStyle name="Currency 21 25" xfId="12334" xr:uid="{F648B17E-1D8E-4F98-8B68-A1AF05F93A74}"/>
    <cellStyle name="Currency 21 26" xfId="13080" xr:uid="{056EB89C-B55D-431E-8F5A-C861A85B2A76}"/>
    <cellStyle name="Currency 21 27" xfId="13185" xr:uid="{907236D4-D77A-4B0C-9515-010D92F34E01}"/>
    <cellStyle name="Currency 21 3" xfId="1453" xr:uid="{00000000-0005-0000-0000-000057010000}"/>
    <cellStyle name="Currency 21 3 2" xfId="3563" xr:uid="{C5EBB526-5D37-4788-89F2-39D2EBAEB52B}"/>
    <cellStyle name="Currency 21 3 3" xfId="4869" xr:uid="{98E58BEF-4452-4931-8D18-B2889948A6CC}"/>
    <cellStyle name="Currency 21 3 4" xfId="8079" xr:uid="{C8041300-4A9C-459F-878D-EBC63A62C61B}"/>
    <cellStyle name="Currency 21 4" xfId="1699" xr:uid="{00000000-0005-0000-0000-000058010000}"/>
    <cellStyle name="Currency 21 4 2" xfId="3800" xr:uid="{4EF4D73F-619C-44FD-9D1A-28908A212D27}"/>
    <cellStyle name="Currency 21 4 3" xfId="5120" xr:uid="{4519EDC2-BB55-4F5D-9542-A84FC1CB57F5}"/>
    <cellStyle name="Currency 21 4 4" xfId="8319" xr:uid="{21C6C418-0E64-4B4C-9917-833C432292DC}"/>
    <cellStyle name="Currency 21 5" xfId="1959" xr:uid="{00000000-0005-0000-0000-000059010000}"/>
    <cellStyle name="Currency 21 5 2" xfId="4064" xr:uid="{DC12C5DE-8D8C-4A34-AA11-05F20738EB14}"/>
    <cellStyle name="Currency 21 5 3" xfId="5363" xr:uid="{34C00E2B-CD70-465D-966D-F47D838EBAD8}"/>
    <cellStyle name="Currency 21 5 4" xfId="8555" xr:uid="{0C907778-8C83-475B-9E01-0D6028CEB6D5}"/>
    <cellStyle name="Currency 21 6" xfId="2214" xr:uid="{85A53413-F54C-465F-BD4C-EDC9F447F458}"/>
    <cellStyle name="Currency 21 6 2" xfId="5599" xr:uid="{2AAACE8D-D398-4E7D-A46D-C1CEB0FFDCAB}"/>
    <cellStyle name="Currency 21 6 3" xfId="8791" xr:uid="{A24673F9-7962-4E87-A9BE-3489A5F622A1}"/>
    <cellStyle name="Currency 21 7" xfId="2450" xr:uid="{A921E27D-3FA3-49D3-9CB8-A72B4F92287D}"/>
    <cellStyle name="Currency 21 7 2" xfId="5829" xr:uid="{6283B855-9D13-4820-82B9-6D590461732F}"/>
    <cellStyle name="Currency 21 7 3" xfId="9021" xr:uid="{E2CF1437-4D0D-45A7-A6D5-E46626E73E2D}"/>
    <cellStyle name="Currency 21 8" xfId="2692" xr:uid="{7019FAE3-F034-42B3-B3CC-EAEC9242A800}"/>
    <cellStyle name="Currency 21 8 2" xfId="6060" xr:uid="{1CB8D729-F866-4C9D-B098-49AEE79AE940}"/>
    <cellStyle name="Currency 21 8 3" xfId="9251" xr:uid="{2D86197C-950A-41E1-A24F-D2FA03F6C484}"/>
    <cellStyle name="Currency 21 9" xfId="2925" xr:uid="{0D2B78DE-9B53-4DC6-B9BC-1BB431305CDE}"/>
    <cellStyle name="Currency 21 9 2" xfId="6293" xr:uid="{BA342C3B-BFE3-4E31-9FF9-EB5B19482F85}"/>
    <cellStyle name="Currency 21 9 3" xfId="9481" xr:uid="{1B7F2A34-2723-4BA2-B8A2-B8979052917F}"/>
    <cellStyle name="Currency 22" xfId="263" xr:uid="{00000000-0005-0000-0000-00005A010000}"/>
    <cellStyle name="Currency 22 10" xfId="3139" xr:uid="{C1EC9416-5D1C-48D2-95E5-08B7BB86D6C8}"/>
    <cellStyle name="Currency 22 10 2" xfId="6540" xr:uid="{E1A9C8E5-CD54-4B92-ADB5-49A4CA610B01}"/>
    <cellStyle name="Currency 22 10 3" xfId="9723" xr:uid="{E558C1D4-49E9-409F-8277-802FBE60C9D3}"/>
    <cellStyle name="Currency 22 11" xfId="6801" xr:uid="{B1E5E021-15AC-4EF2-9991-B057C41299C9}"/>
    <cellStyle name="Currency 22 11 2" xfId="9965" xr:uid="{A62B8137-693C-4C55-9F49-C15ED3F46BBA}"/>
    <cellStyle name="Currency 22 12" xfId="7096" xr:uid="{7D717CC7-E044-490B-AD45-D7AA4B443154}"/>
    <cellStyle name="Currency 22 12 2" xfId="10238" xr:uid="{3CE4568A-CB7E-43D7-9018-110F7645DA40}"/>
    <cellStyle name="Currency 22 13" xfId="7339" xr:uid="{B9B070DF-77E3-48AB-882A-C16C2C705022}"/>
    <cellStyle name="Currency 22 13 2" xfId="10477" xr:uid="{CD6431AB-CF81-4B61-B17F-890E53D9D3F3}"/>
    <cellStyle name="Currency 22 14" xfId="7439" xr:uid="{4183B83A-5915-429E-9315-B71483D2ABF3}"/>
    <cellStyle name="Currency 22 14 2" xfId="10574" xr:uid="{5934A8D6-D84E-44BE-880B-4734BC18114F}"/>
    <cellStyle name="Currency 22 15" xfId="4370" xr:uid="{2AC336C9-CCEC-4CF7-99C0-1432BC8A9D18}"/>
    <cellStyle name="Currency 22 16" xfId="4467" xr:uid="{9028833B-E611-4FC9-8519-814C0DB3F8A3}"/>
    <cellStyle name="Currency 22 17" xfId="10944" xr:uid="{AF02153E-FB48-4D92-AB6B-782F3613548C}"/>
    <cellStyle name="Currency 22 18" xfId="11275" xr:uid="{63C9A27F-8D8E-45EE-855E-76FB14DD5A6C}"/>
    <cellStyle name="Currency 22 19" xfId="11379" xr:uid="{9B0C4065-08E4-4C91-B53C-CAD5A58D9989}"/>
    <cellStyle name="Currency 22 2" xfId="1268" xr:uid="{00000000-0005-0000-0000-00005B010000}"/>
    <cellStyle name="Currency 22 2 2" xfId="3379" xr:uid="{7112C31A-F22E-4354-B0E8-BC0C1AB6328D}"/>
    <cellStyle name="Currency 22 2 3" xfId="4685" xr:uid="{D21365FC-3AEE-4C55-B9CB-8575FC595196}"/>
    <cellStyle name="Currency 22 2 4" xfId="7898" xr:uid="{1DE16E2C-40AB-4A0F-A665-BD7354640D50}"/>
    <cellStyle name="Currency 22 20" xfId="11216" xr:uid="{010A3A42-A1A5-4B6C-91AB-7CB1587B4194}"/>
    <cellStyle name="Currency 22 21" xfId="11835" xr:uid="{53111A80-CD26-465E-BE91-AB03D6BA35EF}"/>
    <cellStyle name="Currency 22 22" xfId="12036" xr:uid="{E11B78BE-267D-44A1-AFBF-7F640D61DC55}"/>
    <cellStyle name="Currency 22 23" xfId="12387" xr:uid="{7316BD10-C87D-425E-8F18-E7FC334C08EA}"/>
    <cellStyle name="Currency 22 24" xfId="12508" xr:uid="{46B26FF6-722F-486F-8627-91A604D8EAC0}"/>
    <cellStyle name="Currency 22 25" xfId="12335" xr:uid="{E3DE430E-CDED-499C-8F88-684E508502A7}"/>
    <cellStyle name="Currency 22 26" xfId="13081" xr:uid="{7197CBFC-BED3-4ADB-A2A6-58900A3C3630}"/>
    <cellStyle name="Currency 22 27" xfId="13184" xr:uid="{16081645-11AA-4F54-B121-B3878F836F0F}"/>
    <cellStyle name="Currency 22 3" xfId="1454" xr:uid="{00000000-0005-0000-0000-00005C010000}"/>
    <cellStyle name="Currency 22 3 2" xfId="3564" xr:uid="{4817CA83-4EBE-4651-9312-E9D4532798FE}"/>
    <cellStyle name="Currency 22 3 3" xfId="4870" xr:uid="{4650CA25-CA78-4812-A050-1C3D9DFB9E16}"/>
    <cellStyle name="Currency 22 3 4" xfId="8080" xr:uid="{67899502-1D53-46FA-A7F4-DCB34FC3B895}"/>
    <cellStyle name="Currency 22 4" xfId="1700" xr:uid="{00000000-0005-0000-0000-00005D010000}"/>
    <cellStyle name="Currency 22 4 2" xfId="3801" xr:uid="{E7A963A7-2B2E-4F18-8024-CEFB97337D96}"/>
    <cellStyle name="Currency 22 4 3" xfId="5121" xr:uid="{8ACD340A-DAC2-4BEE-A894-1C0ABC41AD3F}"/>
    <cellStyle name="Currency 22 4 4" xfId="8320" xr:uid="{61E6937E-FFF3-43D5-8595-78BCC6F1E5CD}"/>
    <cellStyle name="Currency 22 5" xfId="1960" xr:uid="{00000000-0005-0000-0000-00005E010000}"/>
    <cellStyle name="Currency 22 5 2" xfId="4065" xr:uid="{091292AB-B9A4-494F-A355-66DD921896F1}"/>
    <cellStyle name="Currency 22 5 3" xfId="5364" xr:uid="{C8F1FF0D-4E5C-49A2-B4FD-03F6CEF04F8A}"/>
    <cellStyle name="Currency 22 5 4" xfId="8556" xr:uid="{1F3D77A7-7B49-444A-8592-1B1A90A4ACB1}"/>
    <cellStyle name="Currency 22 6" xfId="2215" xr:uid="{349294B3-4E37-4D9E-A6BC-3369D3631318}"/>
    <cellStyle name="Currency 22 6 2" xfId="5600" xr:uid="{10D495E2-FAD7-497D-9705-90E010C2CA91}"/>
    <cellStyle name="Currency 22 6 3" xfId="8792" xr:uid="{0086C35C-4145-4DB2-9C93-2833076BE15D}"/>
    <cellStyle name="Currency 22 7" xfId="2451" xr:uid="{1AE1C0BF-991E-4C70-86C3-B14CC3F702F6}"/>
    <cellStyle name="Currency 22 7 2" xfId="5830" xr:uid="{9BE72EFD-9152-453E-9483-CBFB8CD16D34}"/>
    <cellStyle name="Currency 22 7 3" xfId="9022" xr:uid="{8074B834-7049-46E5-87D5-4D18699CF92D}"/>
    <cellStyle name="Currency 22 8" xfId="2693" xr:uid="{59EB793F-D961-4303-8968-F54037F5E457}"/>
    <cellStyle name="Currency 22 8 2" xfId="6061" xr:uid="{33644993-683E-4D7E-813D-BC27B66678A3}"/>
    <cellStyle name="Currency 22 8 3" xfId="9252" xr:uid="{3BD7B448-4243-4DF1-970C-72DD9DFC5DD5}"/>
    <cellStyle name="Currency 22 9" xfId="2926" xr:uid="{6004CAD1-3808-4DFC-9BB3-98D58FE5B044}"/>
    <cellStyle name="Currency 22 9 2" xfId="6294" xr:uid="{C075B2CE-2865-490F-BAE9-FC8038C1788D}"/>
    <cellStyle name="Currency 22 9 3" xfId="9482" xr:uid="{27704CBC-DA80-4234-8903-7E20698D6B07}"/>
    <cellStyle name="Currency 23" xfId="264" xr:uid="{00000000-0005-0000-0000-00005F010000}"/>
    <cellStyle name="Currency 23 10" xfId="3140" xr:uid="{C941BD3B-BFBB-464B-8843-964A4230EAC5}"/>
    <cellStyle name="Currency 23 10 2" xfId="6541" xr:uid="{8E3F808E-FB92-4A30-ABF5-6501D8264747}"/>
    <cellStyle name="Currency 23 10 3" xfId="9724" xr:uid="{215D600E-64FD-43FD-A8A9-4ABE8A9BB810}"/>
    <cellStyle name="Currency 23 11" xfId="6802" xr:uid="{36726FDB-F8AE-46A7-A31E-07CD5CE8FF9B}"/>
    <cellStyle name="Currency 23 11 2" xfId="9966" xr:uid="{418AFF66-B70B-4A21-A017-7F2ADE34E816}"/>
    <cellStyle name="Currency 23 12" xfId="7097" xr:uid="{D456923D-4E15-48FA-8176-1117277F5524}"/>
    <cellStyle name="Currency 23 12 2" xfId="10239" xr:uid="{3E199A7C-3AA7-49C9-BA8E-69995E669DE7}"/>
    <cellStyle name="Currency 23 13" xfId="7340" xr:uid="{20A075D0-F4FB-4943-9C92-300F659F5F98}"/>
    <cellStyle name="Currency 23 13 2" xfId="10478" xr:uid="{4C6148A5-B05A-467F-95C2-F0B40466CD54}"/>
    <cellStyle name="Currency 23 14" xfId="7438" xr:uid="{E2205767-0C1C-43A7-B01D-D7E240003531}"/>
    <cellStyle name="Currency 23 14 2" xfId="10573" xr:uid="{9AFF4600-A50A-42BA-8791-D06DDFDB64EF}"/>
    <cellStyle name="Currency 23 15" xfId="4371" xr:uid="{644564A5-A9EA-44A9-99D5-545E4D8183F0}"/>
    <cellStyle name="Currency 23 16" xfId="4466" xr:uid="{EDC00C05-718B-4EB2-A54A-F4A95AB6A2A0}"/>
    <cellStyle name="Currency 23 17" xfId="10945" xr:uid="{05293192-3EAB-4A62-9AF1-51D0D441C3CF}"/>
    <cellStyle name="Currency 23 18" xfId="11276" xr:uid="{F443434E-2733-46E9-ABA2-567797046EAE}"/>
    <cellStyle name="Currency 23 19" xfId="11378" xr:uid="{FF56666F-0BCD-4052-8689-507A19A4CEF2}"/>
    <cellStyle name="Currency 23 2" xfId="1269" xr:uid="{00000000-0005-0000-0000-000060010000}"/>
    <cellStyle name="Currency 23 2 2" xfId="3380" xr:uid="{1385BD4B-9DBE-4DEB-AE8B-D6F9F644E595}"/>
    <cellStyle name="Currency 23 2 3" xfId="4686" xr:uid="{59F6D5C9-B6D5-4E4B-8281-4653057C79CD}"/>
    <cellStyle name="Currency 23 2 4" xfId="7899" xr:uid="{B8E683F7-0138-436D-9F9E-610A7E51F05D}"/>
    <cellStyle name="Currency 23 20" xfId="11217" xr:uid="{204A9A43-2FB3-44F5-9960-8CF26ECA4D16}"/>
    <cellStyle name="Currency 23 21" xfId="11836" xr:uid="{68821ECD-2667-4336-A8BE-138E67A9CF95}"/>
    <cellStyle name="Currency 23 22" xfId="12037" xr:uid="{AFA009D3-1859-4FC5-84B8-E9CB1A1295DB}"/>
    <cellStyle name="Currency 23 23" xfId="12388" xr:uid="{48DF2133-491D-4081-B045-3BB8293565F3}"/>
    <cellStyle name="Currency 23 24" xfId="12507" xr:uid="{D16CB1F7-3BF9-4F85-A6C9-F2EF1554CC29}"/>
    <cellStyle name="Currency 23 25" xfId="12336" xr:uid="{FC29EF3E-DF55-4BC7-91B7-DCF0E000BA59}"/>
    <cellStyle name="Currency 23 26" xfId="13082" xr:uid="{99FE79A5-2C81-49E4-8C2B-A30F728FAB9A}"/>
    <cellStyle name="Currency 23 27" xfId="13183" xr:uid="{F9BBEDCF-55A1-43FC-A7B3-562F948ABA29}"/>
    <cellStyle name="Currency 23 3" xfId="1455" xr:uid="{00000000-0005-0000-0000-000061010000}"/>
    <cellStyle name="Currency 23 3 2" xfId="3565" xr:uid="{6E569796-4635-425A-8B1E-F2C6F041D45A}"/>
    <cellStyle name="Currency 23 3 3" xfId="4871" xr:uid="{DB0928A9-208A-4D05-AAA8-CC6A0CD8082F}"/>
    <cellStyle name="Currency 23 3 4" xfId="8081" xr:uid="{C06A839C-0A5D-4634-B560-4DD356BB0BFF}"/>
    <cellStyle name="Currency 23 4" xfId="1701" xr:uid="{00000000-0005-0000-0000-000062010000}"/>
    <cellStyle name="Currency 23 4 2" xfId="3802" xr:uid="{0ABC1A80-7190-4B2B-A23B-8251BE63BE85}"/>
    <cellStyle name="Currency 23 4 3" xfId="5122" xr:uid="{31A74899-A154-4B63-AAA8-74A78EDFE723}"/>
    <cellStyle name="Currency 23 4 4" xfId="8321" xr:uid="{7E317E0B-6D72-40FD-B0DB-54E251952972}"/>
    <cellStyle name="Currency 23 5" xfId="1961" xr:uid="{00000000-0005-0000-0000-000063010000}"/>
    <cellStyle name="Currency 23 5 2" xfId="4066" xr:uid="{DE7FFD7C-2C9E-41F6-804E-9329D87A5AB5}"/>
    <cellStyle name="Currency 23 5 3" xfId="5365" xr:uid="{E88EE6ED-FA63-4FCA-849F-7475504970A6}"/>
    <cellStyle name="Currency 23 5 4" xfId="8557" xr:uid="{160D0948-1D88-4DC6-A9D4-16EBACDAB027}"/>
    <cellStyle name="Currency 23 6" xfId="2216" xr:uid="{7D1B7FFB-8708-46CF-B083-E47FEBDDCCC8}"/>
    <cellStyle name="Currency 23 6 2" xfId="5601" xr:uid="{05223EE5-10C6-4AC6-B944-5AC372EFAD41}"/>
    <cellStyle name="Currency 23 6 3" xfId="8793" xr:uid="{63E523BF-8694-4562-A7D7-06716DC4B647}"/>
    <cellStyle name="Currency 23 7" xfId="2452" xr:uid="{01BCE986-7DF1-45E2-859E-BB6F62A3E52F}"/>
    <cellStyle name="Currency 23 7 2" xfId="5831" xr:uid="{D33D4839-60D0-470B-BF96-8FF64D1FF711}"/>
    <cellStyle name="Currency 23 7 3" xfId="9023" xr:uid="{9D7B1623-7F03-4592-954A-329240641821}"/>
    <cellStyle name="Currency 23 8" xfId="2694" xr:uid="{6AFD7489-7DA2-421E-BED6-31F0F5B8A879}"/>
    <cellStyle name="Currency 23 8 2" xfId="6062" xr:uid="{F55E4C8E-3BB8-4687-ADFE-08F57682BFAB}"/>
    <cellStyle name="Currency 23 8 3" xfId="9253" xr:uid="{6BBE1C2C-C658-44B5-89BC-4E0496BCDE1A}"/>
    <cellStyle name="Currency 23 9" xfId="2927" xr:uid="{4F40714E-14C2-41E4-9850-C6F201200CA4}"/>
    <cellStyle name="Currency 23 9 2" xfId="6295" xr:uid="{C70DAEBC-C859-4438-9A31-CBE5F11EE2C2}"/>
    <cellStyle name="Currency 23 9 3" xfId="9483" xr:uid="{F7660D14-A554-4E64-9A03-91667B42C747}"/>
    <cellStyle name="Currency 24" xfId="265" xr:uid="{00000000-0005-0000-0000-000064010000}"/>
    <cellStyle name="Currency 24 10" xfId="3141" xr:uid="{E0BD5493-4511-4379-A7C2-04E13EE4CE9A}"/>
    <cellStyle name="Currency 24 10 2" xfId="6542" xr:uid="{5B3D1470-832E-4F86-9F82-0EE798A9B6E2}"/>
    <cellStyle name="Currency 24 10 3" xfId="9725" xr:uid="{2FBA2D2E-841F-4CDC-B735-3CC9510A61E8}"/>
    <cellStyle name="Currency 24 11" xfId="6803" xr:uid="{73E285E9-9781-4269-A0E9-F026F24BC3BE}"/>
    <cellStyle name="Currency 24 11 2" xfId="9967" xr:uid="{FD70C90A-B18E-42E9-8DB8-4243E8E230FF}"/>
    <cellStyle name="Currency 24 12" xfId="7098" xr:uid="{1E7D77EC-35C9-4D79-BAC9-57D79B362DFB}"/>
    <cellStyle name="Currency 24 12 2" xfId="10240" xr:uid="{A2EAB7D0-EAB3-4E88-BCEF-42AF4486C76C}"/>
    <cellStyle name="Currency 24 13" xfId="7341" xr:uid="{0797D27C-E746-443E-9F5F-A15A996D3692}"/>
    <cellStyle name="Currency 24 13 2" xfId="10479" xr:uid="{72F1BDAF-5A9E-4BC1-89AF-E8C542787F0F}"/>
    <cellStyle name="Currency 24 14" xfId="7437" xr:uid="{C69BBA89-3CAC-47FE-8D8A-895E24E97F7A}"/>
    <cellStyle name="Currency 24 14 2" xfId="10572" xr:uid="{E43539B9-7EF0-4A3E-8401-E90750994CDB}"/>
    <cellStyle name="Currency 24 15" xfId="4372" xr:uid="{F8EBD6A4-07AA-4EA6-9B98-DFB3E838251C}"/>
    <cellStyle name="Currency 24 16" xfId="4465" xr:uid="{4858C46F-32F4-4525-8A82-E9EBE2358C19}"/>
    <cellStyle name="Currency 24 17" xfId="10946" xr:uid="{C41FCA27-216E-4633-909A-F7DCC0993849}"/>
    <cellStyle name="Currency 24 18" xfId="11277" xr:uid="{E7EE7F53-E53F-4A16-8420-35B89C785167}"/>
    <cellStyle name="Currency 24 19" xfId="11377" xr:uid="{FF58D84A-CEAC-4011-8FD1-9CD282C5799E}"/>
    <cellStyle name="Currency 24 2" xfId="1270" xr:uid="{00000000-0005-0000-0000-000065010000}"/>
    <cellStyle name="Currency 24 2 2" xfId="3381" xr:uid="{5A33F9E9-E29C-4A1A-A110-55B603B624EF}"/>
    <cellStyle name="Currency 24 2 3" xfId="4687" xr:uid="{B833575C-8BC2-49D6-B8D6-6FF8CD90B189}"/>
    <cellStyle name="Currency 24 2 4" xfId="7900" xr:uid="{7CE9FD2B-0AB1-41B2-84D2-E4EF4C3B6060}"/>
    <cellStyle name="Currency 24 20" xfId="11218" xr:uid="{E8EC9605-5FC5-4430-8032-0F62AF2FA1F0}"/>
    <cellStyle name="Currency 24 21" xfId="11837" xr:uid="{35754E47-A8F4-4525-AA94-BF71EAEF4396}"/>
    <cellStyle name="Currency 24 22" xfId="12038" xr:uid="{D335CE53-13FE-4CEB-86CC-F5A1367C8E62}"/>
    <cellStyle name="Currency 24 23" xfId="12389" xr:uid="{E03BAC74-F08C-4DF0-91CA-40D998F70AE0}"/>
    <cellStyle name="Currency 24 24" xfId="12506" xr:uid="{01B57242-41F0-496D-8FC4-374BEE557700}"/>
    <cellStyle name="Currency 24 25" xfId="12337" xr:uid="{52D7B5D1-3ACA-419A-A226-B8206783AB11}"/>
    <cellStyle name="Currency 24 26" xfId="13083" xr:uid="{7C24CB6F-F605-47A4-8037-2A8215A9926B}"/>
    <cellStyle name="Currency 24 27" xfId="13182" xr:uid="{C976068A-1B94-4FB5-BDBD-1171BB85C6E1}"/>
    <cellStyle name="Currency 24 3" xfId="1456" xr:uid="{00000000-0005-0000-0000-000066010000}"/>
    <cellStyle name="Currency 24 3 2" xfId="3566" xr:uid="{B90B50CE-83DC-4080-8A11-C19D0534B06B}"/>
    <cellStyle name="Currency 24 3 3" xfId="4872" xr:uid="{F253A269-7F6F-4CD3-BF03-5A380157E12F}"/>
    <cellStyle name="Currency 24 3 4" xfId="8082" xr:uid="{54D70C1D-21D7-487D-BDD1-8F6D908AB219}"/>
    <cellStyle name="Currency 24 4" xfId="1702" xr:uid="{00000000-0005-0000-0000-000067010000}"/>
    <cellStyle name="Currency 24 4 2" xfId="3803" xr:uid="{B10BB1F8-8D61-4398-B176-3F27D51A595C}"/>
    <cellStyle name="Currency 24 4 3" xfId="5123" xr:uid="{E66292E9-C586-43DE-9AB0-EA2D49DEE780}"/>
    <cellStyle name="Currency 24 4 4" xfId="8322" xr:uid="{0583FB6B-E863-4912-B675-DDF867AE1610}"/>
    <cellStyle name="Currency 24 5" xfId="1962" xr:uid="{00000000-0005-0000-0000-000068010000}"/>
    <cellStyle name="Currency 24 5 2" xfId="4067" xr:uid="{136C1917-41E1-4E08-A820-DBAEBF5405B2}"/>
    <cellStyle name="Currency 24 5 3" xfId="5366" xr:uid="{CB6510C3-5F42-4157-BCE7-F1B5338E99BD}"/>
    <cellStyle name="Currency 24 5 4" xfId="8558" xr:uid="{3C3625C6-54BB-47B6-ABC5-161B5E691C8C}"/>
    <cellStyle name="Currency 24 6" xfId="2217" xr:uid="{806F411D-758B-4F56-8828-FC469DBD9F91}"/>
    <cellStyle name="Currency 24 6 2" xfId="5602" xr:uid="{AB739FB1-6889-4A9E-989A-817597E7B976}"/>
    <cellStyle name="Currency 24 6 3" xfId="8794" xr:uid="{B9F6895F-0C1D-496C-BA78-64F4B651981B}"/>
    <cellStyle name="Currency 24 7" xfId="2453" xr:uid="{032F93A4-83C2-4277-9F02-B8A2D1EAEDC3}"/>
    <cellStyle name="Currency 24 7 2" xfId="5832" xr:uid="{323F6FC2-B758-486B-AFA6-583C69152CFC}"/>
    <cellStyle name="Currency 24 7 3" xfId="9024" xr:uid="{78ACEF8E-5C12-44AD-8202-AC45B5905FBA}"/>
    <cellStyle name="Currency 24 8" xfId="2695" xr:uid="{B37061E8-061A-4A73-9F3F-F55DD495AFCD}"/>
    <cellStyle name="Currency 24 8 2" xfId="6063" xr:uid="{5F7E5662-514A-458A-94A1-C96089A9D541}"/>
    <cellStyle name="Currency 24 8 3" xfId="9254" xr:uid="{A9E0DFA9-7FBE-4CFF-8210-343869D0CD87}"/>
    <cellStyle name="Currency 24 9" xfId="2928" xr:uid="{520DF15B-3020-4380-B4F0-00165EDF6EB8}"/>
    <cellStyle name="Currency 24 9 2" xfId="6296" xr:uid="{E9AC2372-22D8-4528-9797-36A58852ABF5}"/>
    <cellStyle name="Currency 24 9 3" xfId="9484" xr:uid="{D291D2F2-D0D5-4CBF-BE51-CE9F633F2766}"/>
    <cellStyle name="Currency 25" xfId="266" xr:uid="{00000000-0005-0000-0000-000069010000}"/>
    <cellStyle name="Currency 25 10" xfId="3142" xr:uid="{F345D8F1-1D80-4AB3-B38B-E6AE17CF4289}"/>
    <cellStyle name="Currency 25 10 2" xfId="6543" xr:uid="{62BEE74B-D6CA-42B9-9DAA-389FE6591915}"/>
    <cellStyle name="Currency 25 10 3" xfId="9726" xr:uid="{E7390125-1FE3-42A3-A92B-F4C5DEAF4BAA}"/>
    <cellStyle name="Currency 25 11" xfId="6804" xr:uid="{5487E57C-5C75-41B1-9171-C9DA313CDEAE}"/>
    <cellStyle name="Currency 25 11 2" xfId="9968" xr:uid="{2BE3577D-5933-43DB-A05F-E05A6C790BB7}"/>
    <cellStyle name="Currency 25 12" xfId="7099" xr:uid="{A4282CC7-5443-44DB-BC73-A4A089A341FB}"/>
    <cellStyle name="Currency 25 12 2" xfId="10241" xr:uid="{02E7B350-2F71-4E24-9DEB-0988746CAE9B}"/>
    <cellStyle name="Currency 25 13" xfId="7342" xr:uid="{49BC96D5-B397-4A4B-A7A3-914A946AFA20}"/>
    <cellStyle name="Currency 25 13 2" xfId="10480" xr:uid="{874EC01F-2865-4876-872F-398E14FFF1A8}"/>
    <cellStyle name="Currency 25 14" xfId="7436" xr:uid="{9665F0D2-35F7-4FBD-B8F0-FEADAEBA2627}"/>
    <cellStyle name="Currency 25 14 2" xfId="10571" xr:uid="{C5DBF9D7-2F84-467E-9507-477BDEB400DE}"/>
    <cellStyle name="Currency 25 15" xfId="4373" xr:uid="{6486DADA-BAE3-407F-AF96-5906F8AFBEE3}"/>
    <cellStyle name="Currency 25 16" xfId="4464" xr:uid="{70023A1A-1DE7-43A5-9353-4A3DFE4F2C61}"/>
    <cellStyle name="Currency 25 17" xfId="10947" xr:uid="{6279C144-C4A5-4697-98CA-BA16C6C89D50}"/>
    <cellStyle name="Currency 25 18" xfId="11278" xr:uid="{47250736-337A-4A1F-8873-CCBCF3820048}"/>
    <cellStyle name="Currency 25 19" xfId="11376" xr:uid="{E0E61877-C11C-4FB5-91F1-9D18EF31127C}"/>
    <cellStyle name="Currency 25 2" xfId="1271" xr:uid="{00000000-0005-0000-0000-00006A010000}"/>
    <cellStyle name="Currency 25 2 2" xfId="3382" xr:uid="{E03349A9-4F97-42FC-A374-4E980AF21264}"/>
    <cellStyle name="Currency 25 2 3" xfId="4688" xr:uid="{2F7CADDB-BEE0-4CA2-9EB6-3831EEBE7370}"/>
    <cellStyle name="Currency 25 2 4" xfId="7901" xr:uid="{25CB78AA-7653-47D5-8193-83C287915731}"/>
    <cellStyle name="Currency 25 20" xfId="11219" xr:uid="{9B1CBD03-DF0B-4040-A55F-52E5C629CBDA}"/>
    <cellStyle name="Currency 25 21" xfId="11838" xr:uid="{280D8578-6977-48CE-B776-BDA25C7D798B}"/>
    <cellStyle name="Currency 25 22" xfId="12039" xr:uid="{13077FC8-C62F-4515-8ED0-5FA62D182030}"/>
    <cellStyle name="Currency 25 23" xfId="12390" xr:uid="{1C45F325-7243-4B4F-9DCC-6F2E4580295F}"/>
    <cellStyle name="Currency 25 24" xfId="12505" xr:uid="{86E3559C-A49E-492D-B9C9-F93C8A894199}"/>
    <cellStyle name="Currency 25 25" xfId="12338" xr:uid="{19F253A8-70F5-4183-8BE5-DA6E5DBBBE33}"/>
    <cellStyle name="Currency 25 26" xfId="13084" xr:uid="{1B5EB116-D5BD-4323-B6EC-E6CA51E3D308}"/>
    <cellStyle name="Currency 25 27" xfId="13181" xr:uid="{4CF11054-B4E6-4FE8-8031-72171C9E21DE}"/>
    <cellStyle name="Currency 25 3" xfId="1457" xr:uid="{00000000-0005-0000-0000-00006B010000}"/>
    <cellStyle name="Currency 25 3 2" xfId="3567" xr:uid="{2ED92824-CE41-4901-8D1D-2FF69D39F0F4}"/>
    <cellStyle name="Currency 25 3 3" xfId="4873" xr:uid="{9480D067-6845-4CE0-8A94-C61F19B47431}"/>
    <cellStyle name="Currency 25 3 4" xfId="8083" xr:uid="{C8E09BCA-BAAF-4B7D-A2E6-E26C764460CF}"/>
    <cellStyle name="Currency 25 4" xfId="1703" xr:uid="{00000000-0005-0000-0000-00006C010000}"/>
    <cellStyle name="Currency 25 4 2" xfId="3804" xr:uid="{75EFA4CC-B5F6-41C0-8102-2D4029DBC292}"/>
    <cellStyle name="Currency 25 4 3" xfId="5124" xr:uid="{834AFFD8-8308-457D-B856-BDC867DD1986}"/>
    <cellStyle name="Currency 25 4 4" xfId="8323" xr:uid="{D64F51E8-6465-44AB-872F-5053C98BA4D0}"/>
    <cellStyle name="Currency 25 5" xfId="1963" xr:uid="{00000000-0005-0000-0000-00006D010000}"/>
    <cellStyle name="Currency 25 5 2" xfId="4068" xr:uid="{35B4C723-A32A-4326-A9EA-FEBE3F4B7432}"/>
    <cellStyle name="Currency 25 5 3" xfId="5367" xr:uid="{D1DB420C-E2F3-4FDB-B596-127D0260059D}"/>
    <cellStyle name="Currency 25 5 4" xfId="8559" xr:uid="{DD7FB289-CEFD-4E10-9A74-518A6541C4A6}"/>
    <cellStyle name="Currency 25 6" xfId="2218" xr:uid="{8AA14626-44FE-44FC-A1AD-CF1A7D58DA04}"/>
    <cellStyle name="Currency 25 6 2" xfId="5603" xr:uid="{28AA0B3F-23C1-4738-8A9D-0E2C9A8AB5D5}"/>
    <cellStyle name="Currency 25 6 3" xfId="8795" xr:uid="{BE923C31-C82E-41D9-938C-B9EA2B2B5BA4}"/>
    <cellStyle name="Currency 25 7" xfId="2454" xr:uid="{D8C16F23-8271-4B8C-971A-1D97DC600E4E}"/>
    <cellStyle name="Currency 25 7 2" xfId="5833" xr:uid="{A7245966-F774-4654-A75D-53E3513E1EAD}"/>
    <cellStyle name="Currency 25 7 3" xfId="9025" xr:uid="{5B743B46-4108-4062-9245-C104CE1B3734}"/>
    <cellStyle name="Currency 25 8" xfId="2696" xr:uid="{787CA3A1-4015-4F35-BF04-37B61C7E5D9A}"/>
    <cellStyle name="Currency 25 8 2" xfId="6064" xr:uid="{ADBAA327-6528-4AB4-82AD-EF898395C5C1}"/>
    <cellStyle name="Currency 25 8 3" xfId="9255" xr:uid="{48BCEECD-7AD0-4643-9F22-75A085141378}"/>
    <cellStyle name="Currency 25 9" xfId="2929" xr:uid="{909EC322-659E-4377-8AB9-C937EB0A0497}"/>
    <cellStyle name="Currency 25 9 2" xfId="6297" xr:uid="{3B5F618E-49B8-4922-A4A2-7D18DE2CF7F3}"/>
    <cellStyle name="Currency 25 9 3" xfId="9485" xr:uid="{16F2D314-BDF4-4E59-BD33-D7637CA2F444}"/>
    <cellStyle name="Currency 26" xfId="267" xr:uid="{00000000-0005-0000-0000-00006E010000}"/>
    <cellStyle name="Currency 26 10" xfId="3143" xr:uid="{09681CA0-B668-426C-A8A1-33BFFA928AEF}"/>
    <cellStyle name="Currency 26 10 2" xfId="6544" xr:uid="{A74CC42B-016C-4DB8-8FB2-F50F044C4652}"/>
    <cellStyle name="Currency 26 10 3" xfId="9727" xr:uid="{659E21F0-6409-4D6A-B02E-F9B9FF89C571}"/>
    <cellStyle name="Currency 26 11" xfId="6805" xr:uid="{9B5AD1FC-B8EE-4C04-AE3C-D4E6257019C8}"/>
    <cellStyle name="Currency 26 11 2" xfId="9969" xr:uid="{A71710EB-2C1D-41A8-BA4D-3224AAA31D01}"/>
    <cellStyle name="Currency 26 12" xfId="7100" xr:uid="{17A57508-396B-4410-AE93-013B7677E118}"/>
    <cellStyle name="Currency 26 12 2" xfId="10242" xr:uid="{3338D6BB-06C5-4BDF-B1A8-875CB862DA3A}"/>
    <cellStyle name="Currency 26 13" xfId="7343" xr:uid="{A9FDB74B-05AC-4C15-9FA6-7788DFCFCE48}"/>
    <cellStyle name="Currency 26 13 2" xfId="10481" xr:uid="{8658388D-1917-4964-BEA6-62397BFE966B}"/>
    <cellStyle name="Currency 26 14" xfId="7435" xr:uid="{21530602-D198-48BE-B038-5A6EC2412748}"/>
    <cellStyle name="Currency 26 14 2" xfId="10570" xr:uid="{8E365902-AF09-4F2E-97EE-C07982CB9794}"/>
    <cellStyle name="Currency 26 15" xfId="4374" xr:uid="{DFA1B0D4-EDC2-4E64-B72A-7E49DDC5CBB9}"/>
    <cellStyle name="Currency 26 16" xfId="4463" xr:uid="{9C46EFEB-5FF4-46F2-9C50-80A57DF2EE15}"/>
    <cellStyle name="Currency 26 17" xfId="10948" xr:uid="{64959892-21F5-4C06-90B3-A8A901C871B3}"/>
    <cellStyle name="Currency 26 18" xfId="11279" xr:uid="{99A55BAB-71D0-40AB-AB49-52FAE9773092}"/>
    <cellStyle name="Currency 26 19" xfId="11375" xr:uid="{F8EF3808-BEA1-4A20-8188-4DC47C9A3743}"/>
    <cellStyle name="Currency 26 2" xfId="1272" xr:uid="{00000000-0005-0000-0000-00006F010000}"/>
    <cellStyle name="Currency 26 2 2" xfId="3383" xr:uid="{84122409-B273-4482-9747-BC7752D3E95D}"/>
    <cellStyle name="Currency 26 2 3" xfId="4689" xr:uid="{5A6D87EF-3A54-48EE-BA54-DE11E4FFF74A}"/>
    <cellStyle name="Currency 26 2 4" xfId="7902" xr:uid="{B85FF998-C62B-42D9-A138-62E40374B68A}"/>
    <cellStyle name="Currency 26 20" xfId="11220" xr:uid="{5E3AED0B-3E5E-4033-8EAF-0568D69AF7FA}"/>
    <cellStyle name="Currency 26 21" xfId="11839" xr:uid="{73834ECC-F4EA-4D51-A8E8-7CFD451D8B8B}"/>
    <cellStyle name="Currency 26 22" xfId="12040" xr:uid="{F00AE20A-D979-40DA-8DF7-B91ACD9CF485}"/>
    <cellStyle name="Currency 26 23" xfId="12391" xr:uid="{9E77582D-5A87-467C-A1D0-156E8FF29F10}"/>
    <cellStyle name="Currency 26 24" xfId="12504" xr:uid="{C2B0F852-4AF7-4FCB-92E0-E469EC3FD341}"/>
    <cellStyle name="Currency 26 25" xfId="12339" xr:uid="{52E43443-4CF8-474D-91A0-4CD0A401B2BC}"/>
    <cellStyle name="Currency 26 26" xfId="13085" xr:uid="{8599F706-EAB6-46D5-A414-DEDC560459AE}"/>
    <cellStyle name="Currency 26 27" xfId="13180" xr:uid="{7EE56CA3-1DCB-4013-9F2A-26260350F2AF}"/>
    <cellStyle name="Currency 26 3" xfId="1458" xr:uid="{00000000-0005-0000-0000-000070010000}"/>
    <cellStyle name="Currency 26 3 2" xfId="3568" xr:uid="{4B7DA32E-C00D-48FD-B849-439ED8C7BC21}"/>
    <cellStyle name="Currency 26 3 3" xfId="4874" xr:uid="{33BF5EDB-2647-4D56-8EA2-AFCF4BA5192D}"/>
    <cellStyle name="Currency 26 3 4" xfId="8084" xr:uid="{0F66577E-3A2C-4899-AB3A-B298B26E5939}"/>
    <cellStyle name="Currency 26 4" xfId="1704" xr:uid="{00000000-0005-0000-0000-000071010000}"/>
    <cellStyle name="Currency 26 4 2" xfId="3805" xr:uid="{8525A6CC-CB53-4363-AB04-47C72F501A64}"/>
    <cellStyle name="Currency 26 4 3" xfId="5125" xr:uid="{016CB64D-183C-4714-A3C6-78CBE9E158B5}"/>
    <cellStyle name="Currency 26 4 4" xfId="8324" xr:uid="{9EF55988-9051-49E7-A246-3D021D791968}"/>
    <cellStyle name="Currency 26 5" xfId="1964" xr:uid="{00000000-0005-0000-0000-000072010000}"/>
    <cellStyle name="Currency 26 5 2" xfId="4069" xr:uid="{58CB7DC6-B8B2-42C0-A86D-15CC9815818B}"/>
    <cellStyle name="Currency 26 5 3" xfId="5368" xr:uid="{E2A3F584-940A-4E1A-8963-AC3EC94676C6}"/>
    <cellStyle name="Currency 26 5 4" xfId="8560" xr:uid="{9E1CA945-D733-4875-957D-341872131D45}"/>
    <cellStyle name="Currency 26 6" xfId="2219" xr:uid="{ECD6ED19-C3FC-4C6A-AF75-12984B33A774}"/>
    <cellStyle name="Currency 26 6 2" xfId="5604" xr:uid="{DC72365D-54EA-42A2-86D9-CDA3BFB03C9E}"/>
    <cellStyle name="Currency 26 6 3" xfId="8796" xr:uid="{3F880CFE-57D0-4471-9D45-524E08EDA9F4}"/>
    <cellStyle name="Currency 26 7" xfId="2455" xr:uid="{0983C6AB-7EFF-435F-A4D4-D534DB6E2917}"/>
    <cellStyle name="Currency 26 7 2" xfId="5834" xr:uid="{AC864EE7-3D20-4DDC-A412-E6AEDBE19BE4}"/>
    <cellStyle name="Currency 26 7 3" xfId="9026" xr:uid="{0C047DD5-6F3C-4561-9D0B-D567AEC6A901}"/>
    <cellStyle name="Currency 26 8" xfId="2697" xr:uid="{CF414FBB-7B92-4E2F-AF1C-FF4F71C89278}"/>
    <cellStyle name="Currency 26 8 2" xfId="6065" xr:uid="{B94E4EA1-062F-475A-AF93-ECDAEB1B10CB}"/>
    <cellStyle name="Currency 26 8 3" xfId="9256" xr:uid="{53A8BD5E-E56F-47D3-B665-47022992F023}"/>
    <cellStyle name="Currency 26 9" xfId="2930" xr:uid="{257E194D-A031-46A4-93A3-B23001BBF941}"/>
    <cellStyle name="Currency 26 9 2" xfId="6298" xr:uid="{BBC79179-A11A-4DDD-BD30-317B58AF1C42}"/>
    <cellStyle name="Currency 26 9 3" xfId="9486" xr:uid="{26AB5B97-AFA1-4FFC-8D38-F1678AF300BA}"/>
    <cellStyle name="Currency 27" xfId="268" xr:uid="{00000000-0005-0000-0000-000073010000}"/>
    <cellStyle name="Currency 27 10" xfId="3144" xr:uid="{CF04CF67-85FC-4467-83E4-B2C39928D787}"/>
    <cellStyle name="Currency 27 10 2" xfId="6545" xr:uid="{477D7A5F-3223-4B11-AE1E-08DD553B3802}"/>
    <cellStyle name="Currency 27 10 3" xfId="9728" xr:uid="{4E7A7553-E674-4B69-8E3E-741B49B3F9BB}"/>
    <cellStyle name="Currency 27 11" xfId="6806" xr:uid="{09546DA4-7134-4389-A017-6DD8F070D124}"/>
    <cellStyle name="Currency 27 11 2" xfId="9970" xr:uid="{50B0E082-F855-45C3-9825-0796E42F038A}"/>
    <cellStyle name="Currency 27 12" xfId="7101" xr:uid="{65627B29-4546-46EC-8444-5B4A894B22EF}"/>
    <cellStyle name="Currency 27 12 2" xfId="10243" xr:uid="{7B9CBEDC-6B86-424E-9AE1-8ED31E5CAD4A}"/>
    <cellStyle name="Currency 27 13" xfId="7344" xr:uid="{9CC4AD07-A02B-48BF-A482-8DF7F7B0EA8C}"/>
    <cellStyle name="Currency 27 13 2" xfId="10482" xr:uid="{34487991-81B5-4D99-A397-662F61BC9F8F}"/>
    <cellStyle name="Currency 27 14" xfId="7434" xr:uid="{A19FEF78-3D56-493B-A9AB-B8D1093254A5}"/>
    <cellStyle name="Currency 27 14 2" xfId="10569" xr:uid="{F124B55C-AFC5-4F69-87B9-35ADBF16F735}"/>
    <cellStyle name="Currency 27 15" xfId="4375" xr:uid="{342119BD-5E6B-4130-A554-BDC7E233AE91}"/>
    <cellStyle name="Currency 27 16" xfId="4462" xr:uid="{4A42E2B7-B5F5-4D98-94D2-68A5B127CE7C}"/>
    <cellStyle name="Currency 27 17" xfId="10949" xr:uid="{2889A069-9592-47A6-BF67-810F302BC0CC}"/>
    <cellStyle name="Currency 27 18" xfId="11280" xr:uid="{518A021E-559A-4300-8C2C-3D309B904788}"/>
    <cellStyle name="Currency 27 19" xfId="11374" xr:uid="{579EF619-A7B3-4680-88B9-0A38D792ECFF}"/>
    <cellStyle name="Currency 27 2" xfId="1273" xr:uid="{00000000-0005-0000-0000-000074010000}"/>
    <cellStyle name="Currency 27 2 2" xfId="3384" xr:uid="{2DF4EB41-4237-4780-AB28-532F3717ED0F}"/>
    <cellStyle name="Currency 27 2 3" xfId="4690" xr:uid="{BFD450A1-AE31-4617-942B-3ED7E26AD6BE}"/>
    <cellStyle name="Currency 27 2 4" xfId="7903" xr:uid="{DE4BEAE5-C9C8-4860-B4ED-07EA8BD3CAD8}"/>
    <cellStyle name="Currency 27 20" xfId="11221" xr:uid="{BBDE0F17-5024-4073-B3E7-0A8ED960996D}"/>
    <cellStyle name="Currency 27 21" xfId="11840" xr:uid="{F99582E0-C2F6-4F2E-B1E9-EC466136E775}"/>
    <cellStyle name="Currency 27 22" xfId="12041" xr:uid="{5D8FA5F1-3057-49D5-AC20-BB4A66034B86}"/>
    <cellStyle name="Currency 27 23" xfId="12392" xr:uid="{E7FBFE4D-6DBE-4B7F-B08A-7B09979625F0}"/>
    <cellStyle name="Currency 27 24" xfId="12503" xr:uid="{C399EA4E-A435-4C04-BC54-E754EE303E93}"/>
    <cellStyle name="Currency 27 25" xfId="12340" xr:uid="{50FF2859-8528-4A75-A7A0-8A262DA85B3C}"/>
    <cellStyle name="Currency 27 26" xfId="13086" xr:uid="{A0161B52-42FE-47E4-9A13-7BBB12AE0AA8}"/>
    <cellStyle name="Currency 27 27" xfId="13179" xr:uid="{E08C7112-981C-412E-894A-BBF44DAD1C6D}"/>
    <cellStyle name="Currency 27 3" xfId="1459" xr:uid="{00000000-0005-0000-0000-000075010000}"/>
    <cellStyle name="Currency 27 3 2" xfId="3569" xr:uid="{832FFF05-8356-41EA-B941-2EB2C4B87A22}"/>
    <cellStyle name="Currency 27 3 3" xfId="4875" xr:uid="{B282664D-33DF-47C4-83DE-10BCD7DEE44A}"/>
    <cellStyle name="Currency 27 3 4" xfId="8085" xr:uid="{9FBDBBE4-70AB-4EB8-BA02-B6979422A2A9}"/>
    <cellStyle name="Currency 27 4" xfId="1705" xr:uid="{00000000-0005-0000-0000-000076010000}"/>
    <cellStyle name="Currency 27 4 2" xfId="3806" xr:uid="{9B4FD418-7A97-45FF-BA43-8E78CB7F9532}"/>
    <cellStyle name="Currency 27 4 3" xfId="5126" xr:uid="{23038F2E-70F0-4479-911E-95879B211B14}"/>
    <cellStyle name="Currency 27 4 4" xfId="8325" xr:uid="{542AF4D9-805A-4815-8198-DD36AC039CE3}"/>
    <cellStyle name="Currency 27 5" xfId="1965" xr:uid="{00000000-0005-0000-0000-000077010000}"/>
    <cellStyle name="Currency 27 5 2" xfId="4070" xr:uid="{AAE23704-BAE6-40DB-966F-592D48E34330}"/>
    <cellStyle name="Currency 27 5 3" xfId="5369" xr:uid="{80840F31-58D9-4A5B-81C0-1277440D2E8B}"/>
    <cellStyle name="Currency 27 5 4" xfId="8561" xr:uid="{3478EFF2-C942-4262-A599-80FE612BF4D5}"/>
    <cellStyle name="Currency 27 6" xfId="2220" xr:uid="{68B93AE3-1DC0-4BE6-8BD2-45963782610E}"/>
    <cellStyle name="Currency 27 6 2" xfId="5605" xr:uid="{76784223-D8C9-4517-920E-73411E46C0FC}"/>
    <cellStyle name="Currency 27 6 3" xfId="8797" xr:uid="{48A87CB7-5926-4FA8-9E7E-A4EA4D62CC88}"/>
    <cellStyle name="Currency 27 7" xfId="2456" xr:uid="{5E799D69-77C1-4CCA-8564-321AE1AFCB59}"/>
    <cellStyle name="Currency 27 7 2" xfId="5835" xr:uid="{DB410D9A-9340-48B5-81DE-F81AE9426363}"/>
    <cellStyle name="Currency 27 7 3" xfId="9027" xr:uid="{A23BB53B-B79C-48FE-8E6B-F7F0203D1D7E}"/>
    <cellStyle name="Currency 27 8" xfId="2698" xr:uid="{F2D8421B-7BC3-4C71-9298-565863C99479}"/>
    <cellStyle name="Currency 27 8 2" xfId="6066" xr:uid="{651A58AE-0A6A-4066-8E00-3AA9FE0293CC}"/>
    <cellStyle name="Currency 27 8 3" xfId="9257" xr:uid="{2C843AB9-5C90-4174-9E11-83B860515CBD}"/>
    <cellStyle name="Currency 27 9" xfId="2931" xr:uid="{2BD6CC08-6C15-42BD-9962-FC4B78BD520F}"/>
    <cellStyle name="Currency 27 9 2" xfId="6299" xr:uid="{05859392-7373-47C3-8891-78C25AC856F6}"/>
    <cellStyle name="Currency 27 9 3" xfId="9487" xr:uid="{D7741C75-A265-4BBF-B100-5B227AAA33B1}"/>
    <cellStyle name="Currency 28" xfId="269" xr:uid="{00000000-0005-0000-0000-000078010000}"/>
    <cellStyle name="Currency 28 10" xfId="3145" xr:uid="{DA465A82-1C74-4F4F-ABD8-84F93DB44F0F}"/>
    <cellStyle name="Currency 28 10 2" xfId="6546" xr:uid="{5876A4C5-E16D-4603-8DD3-5F156108BFA4}"/>
    <cellStyle name="Currency 28 10 3" xfId="9729" xr:uid="{0AFC808D-54F4-45D2-A539-AB9C61E55303}"/>
    <cellStyle name="Currency 28 11" xfId="6807" xr:uid="{F98815EA-F8F3-43E0-A330-03A9386B987F}"/>
    <cellStyle name="Currency 28 11 2" xfId="9971" xr:uid="{D5295386-CD06-4546-87D7-B7910739178B}"/>
    <cellStyle name="Currency 28 12" xfId="7102" xr:uid="{614CD985-9365-40E5-9F9C-5DB69DC0E379}"/>
    <cellStyle name="Currency 28 12 2" xfId="10244" xr:uid="{83FB09A2-5DB6-4BC5-8885-F80CE313F435}"/>
    <cellStyle name="Currency 28 13" xfId="7345" xr:uid="{F618B398-5BE4-492C-85C1-C225E77914F5}"/>
    <cellStyle name="Currency 28 13 2" xfId="10483" xr:uid="{F10C578A-6EBF-49D0-B34F-D6EF1F2E9400}"/>
    <cellStyle name="Currency 28 14" xfId="7433" xr:uid="{18054A34-6327-40AF-8A80-8CDFA86FC7E7}"/>
    <cellStyle name="Currency 28 14 2" xfId="10568" xr:uid="{BA7508FB-40F0-4304-B9BB-28A25A1A7C1E}"/>
    <cellStyle name="Currency 28 15" xfId="4376" xr:uid="{35684273-1C1A-4835-A092-C9C15A462FB2}"/>
    <cellStyle name="Currency 28 16" xfId="4461" xr:uid="{77627617-62B0-44C6-8E51-329F26E00913}"/>
    <cellStyle name="Currency 28 17" xfId="10950" xr:uid="{71AA5DDF-DD24-40B4-906A-C908878E9CDF}"/>
    <cellStyle name="Currency 28 18" xfId="11281" xr:uid="{D1355D46-1919-4C7D-BC54-4531A7A63794}"/>
    <cellStyle name="Currency 28 19" xfId="11373" xr:uid="{0D07080A-7358-4FCD-9A6C-B5C466A07AA1}"/>
    <cellStyle name="Currency 28 2" xfId="1274" xr:uid="{00000000-0005-0000-0000-000079010000}"/>
    <cellStyle name="Currency 28 2 2" xfId="3385" xr:uid="{8B13CE89-8DE1-4915-901A-10F2B9B59E32}"/>
    <cellStyle name="Currency 28 2 3" xfId="4691" xr:uid="{BA3A0C4D-7958-4AE5-9E85-00EE105034C1}"/>
    <cellStyle name="Currency 28 2 4" xfId="7904" xr:uid="{C1C0E0F8-DBFC-4D09-9711-0196042045EA}"/>
    <cellStyle name="Currency 28 20" xfId="11222" xr:uid="{31B309AE-4245-4199-B363-32B807C7A79C}"/>
    <cellStyle name="Currency 28 21" xfId="11841" xr:uid="{FE128D7E-B4FC-47F7-BBDA-1B29656222A5}"/>
    <cellStyle name="Currency 28 22" xfId="12042" xr:uid="{02CB0252-015E-4BEF-8081-31A0C7B64465}"/>
    <cellStyle name="Currency 28 23" xfId="12393" xr:uid="{2E3F047A-5EE6-4B16-8875-FBCBD56EC928}"/>
    <cellStyle name="Currency 28 24" xfId="12502" xr:uid="{2D435DB2-516F-4658-B319-C3FA76E1A7F2}"/>
    <cellStyle name="Currency 28 25" xfId="12341" xr:uid="{AF812EEE-B7BE-45A3-AA07-F93461CD3824}"/>
    <cellStyle name="Currency 28 26" xfId="13087" xr:uid="{27BE2394-70F5-4CFF-BBEB-7641DFBDCE6F}"/>
    <cellStyle name="Currency 28 27" xfId="13178" xr:uid="{50583120-7524-4220-9D5E-49AF5B50002A}"/>
    <cellStyle name="Currency 28 3" xfId="1460" xr:uid="{00000000-0005-0000-0000-00007A010000}"/>
    <cellStyle name="Currency 28 3 2" xfId="3570" xr:uid="{4AEF7DCD-6D41-4E8B-9177-3D1B294B6C0A}"/>
    <cellStyle name="Currency 28 3 3" xfId="4876" xr:uid="{71534416-CCC0-49A1-88A6-D2E7FB34B884}"/>
    <cellStyle name="Currency 28 3 4" xfId="8086" xr:uid="{22202B46-4A43-4F51-BFB7-E89147DFD1AA}"/>
    <cellStyle name="Currency 28 4" xfId="1706" xr:uid="{00000000-0005-0000-0000-00007B010000}"/>
    <cellStyle name="Currency 28 4 2" xfId="3807" xr:uid="{F006CA3B-1051-4A61-A771-286B68188FBA}"/>
    <cellStyle name="Currency 28 4 3" xfId="5127" xr:uid="{6A70C27D-E5DA-43B4-A2BB-6DAC72BDBA89}"/>
    <cellStyle name="Currency 28 4 4" xfId="8326" xr:uid="{1DD48031-AB87-406D-9EB9-DDE15CD6ACAE}"/>
    <cellStyle name="Currency 28 5" xfId="1966" xr:uid="{00000000-0005-0000-0000-00007C010000}"/>
    <cellStyle name="Currency 28 5 2" xfId="4071" xr:uid="{BFF5FFC0-71DC-4C8C-9A2E-08B4B944C7B6}"/>
    <cellStyle name="Currency 28 5 3" xfId="5370" xr:uid="{68E44F1B-0636-4279-8258-6F997B53D176}"/>
    <cellStyle name="Currency 28 5 4" xfId="8562" xr:uid="{003DEC07-A749-4B71-87A1-80B8E143F7CC}"/>
    <cellStyle name="Currency 28 6" xfId="2221" xr:uid="{BB3932A6-BDFC-4ABF-A144-1BF24187838A}"/>
    <cellStyle name="Currency 28 6 2" xfId="5606" xr:uid="{4E9729A4-3A43-40A5-BD38-409725FF5D3F}"/>
    <cellStyle name="Currency 28 6 3" xfId="8798" xr:uid="{1DC07586-101E-418F-A4F8-EC4B6F73CD73}"/>
    <cellStyle name="Currency 28 7" xfId="2457" xr:uid="{E3EA235E-A22A-4844-824F-8D1DC6A13495}"/>
    <cellStyle name="Currency 28 7 2" xfId="5836" xr:uid="{E57866E5-F163-44D8-8B38-406B6830AD59}"/>
    <cellStyle name="Currency 28 7 3" xfId="9028" xr:uid="{C5BAEBE0-5793-4DF3-AD44-52F38BB19169}"/>
    <cellStyle name="Currency 28 8" xfId="2699" xr:uid="{56326B30-DD1E-45BC-8A49-9469A0A58DA3}"/>
    <cellStyle name="Currency 28 8 2" xfId="6067" xr:uid="{C0990D0E-29C7-48B2-9F44-7CF4224C5518}"/>
    <cellStyle name="Currency 28 8 3" xfId="9258" xr:uid="{4D447F98-0F46-4ED0-886F-9C15FE1925DD}"/>
    <cellStyle name="Currency 28 9" xfId="2932" xr:uid="{E6F6FD11-9BDC-44F9-B85D-B4FDA8D59FC9}"/>
    <cellStyle name="Currency 28 9 2" xfId="6300" xr:uid="{C2BD36D5-C4A1-4CC6-8E5E-160973276749}"/>
    <cellStyle name="Currency 28 9 3" xfId="9488" xr:uid="{76E1F7EF-700C-428E-B8D7-ECF54545B5A4}"/>
    <cellStyle name="Currency 29" xfId="270" xr:uid="{00000000-0005-0000-0000-00007D010000}"/>
    <cellStyle name="Currency 29 10" xfId="3146" xr:uid="{3266A5B2-8AA3-40FB-B546-620045E3BF3B}"/>
    <cellStyle name="Currency 29 10 2" xfId="6547" xr:uid="{19937FA2-4625-443B-9544-DF1E34AF5658}"/>
    <cellStyle name="Currency 29 10 3" xfId="9730" xr:uid="{A95C4884-0302-4142-B9A0-1A136D986A82}"/>
    <cellStyle name="Currency 29 11" xfId="6808" xr:uid="{2ED95A60-C893-4288-AEDD-52F2707BC79A}"/>
    <cellStyle name="Currency 29 11 2" xfId="9972" xr:uid="{6A2D28CC-E5EF-4C66-8619-C7411CD08A44}"/>
    <cellStyle name="Currency 29 12" xfId="7103" xr:uid="{4E999293-011E-4E8D-BEAB-3CDD7198160A}"/>
    <cellStyle name="Currency 29 12 2" xfId="10245" xr:uid="{F08DAD82-8F8C-4698-9B77-11676676BC26}"/>
    <cellStyle name="Currency 29 13" xfId="7346" xr:uid="{894EBE79-44DA-4C62-8D34-F0F9E5558A7C}"/>
    <cellStyle name="Currency 29 13 2" xfId="10484" xr:uid="{BA4DEB68-8ED8-4257-B486-AC0F99DB8302}"/>
    <cellStyle name="Currency 29 14" xfId="7432" xr:uid="{2D7888F9-9FB6-48D2-A199-D63CE4ACE7EC}"/>
    <cellStyle name="Currency 29 14 2" xfId="10567" xr:uid="{62D26D4F-968D-438E-8F4D-83153971B9FF}"/>
    <cellStyle name="Currency 29 15" xfId="4377" xr:uid="{AA2B9F9E-036E-4E91-98C5-05B6B053A2F4}"/>
    <cellStyle name="Currency 29 16" xfId="4460" xr:uid="{EF782D12-C4FD-4069-BCA9-63290D0E89E6}"/>
    <cellStyle name="Currency 29 17" xfId="10951" xr:uid="{F2A07650-AA2A-4662-9099-F08B1A248F61}"/>
    <cellStyle name="Currency 29 18" xfId="11282" xr:uid="{32AA8A4E-5B2A-4F2E-93AA-EFFBD68D7B73}"/>
    <cellStyle name="Currency 29 19" xfId="11372" xr:uid="{6F54A47A-F9A8-41E1-AFD7-C0DCB8CE86B9}"/>
    <cellStyle name="Currency 29 2" xfId="1275" xr:uid="{00000000-0005-0000-0000-00007E010000}"/>
    <cellStyle name="Currency 29 2 2" xfId="3386" xr:uid="{B07C535A-B32C-497F-AE92-EF8E7C827E88}"/>
    <cellStyle name="Currency 29 2 3" xfId="4692" xr:uid="{488CA202-0388-42D2-935A-67DC299CC14B}"/>
    <cellStyle name="Currency 29 2 4" xfId="7905" xr:uid="{E5B1E7C8-3ED9-4E68-A5FF-F8DCB1915554}"/>
    <cellStyle name="Currency 29 20" xfId="11223" xr:uid="{12ACEA21-2D7A-4D76-BAF0-2296EC2C97E2}"/>
    <cellStyle name="Currency 29 21" xfId="11842" xr:uid="{33380240-7D40-4B33-ACE8-317A78C6FC9C}"/>
    <cellStyle name="Currency 29 22" xfId="12043" xr:uid="{B2DEB910-506A-47A5-8BE6-A8321BE592B1}"/>
    <cellStyle name="Currency 29 23" xfId="12394" xr:uid="{A9760A20-14BA-4A9E-BCDE-6BDC564DE4B6}"/>
    <cellStyle name="Currency 29 24" xfId="12501" xr:uid="{A86A9FD7-B81A-4B81-920F-5E6C1FA1AEC2}"/>
    <cellStyle name="Currency 29 25" xfId="12342" xr:uid="{80236B85-4F7C-4140-87D9-091506B1D089}"/>
    <cellStyle name="Currency 29 26" xfId="13088" xr:uid="{91D1385B-DDD4-4A82-A806-6536F7C55882}"/>
    <cellStyle name="Currency 29 27" xfId="13177" xr:uid="{42596B77-867C-41A3-8AAC-ED1698949DDD}"/>
    <cellStyle name="Currency 29 3" xfId="1461" xr:uid="{00000000-0005-0000-0000-00007F010000}"/>
    <cellStyle name="Currency 29 3 2" xfId="3571" xr:uid="{26033132-30EF-4C36-990A-DB1BEEFF82A3}"/>
    <cellStyle name="Currency 29 3 3" xfId="4877" xr:uid="{AB7C9BD2-3661-4DA4-BFA8-9F641506153F}"/>
    <cellStyle name="Currency 29 3 4" xfId="8087" xr:uid="{0461C6FD-79CA-4091-8B18-92B08E80D869}"/>
    <cellStyle name="Currency 29 4" xfId="1707" xr:uid="{00000000-0005-0000-0000-000080010000}"/>
    <cellStyle name="Currency 29 4 2" xfId="3808" xr:uid="{87E61CF7-2A55-4B8D-BEE4-B5906B6EAED2}"/>
    <cellStyle name="Currency 29 4 3" xfId="5128" xr:uid="{FEAC2C80-8722-47A0-AF06-4C1FC89750FE}"/>
    <cellStyle name="Currency 29 4 4" xfId="8327" xr:uid="{6BC08F23-E458-4C0A-ADA7-223425EB0A25}"/>
    <cellStyle name="Currency 29 5" xfId="1967" xr:uid="{00000000-0005-0000-0000-000081010000}"/>
    <cellStyle name="Currency 29 5 2" xfId="4072" xr:uid="{AF486EA2-1FDB-4D15-8D44-30CA5F7DF3D1}"/>
    <cellStyle name="Currency 29 5 3" xfId="5371" xr:uid="{7EFDD793-6CA2-49A2-A95D-602EA69BB957}"/>
    <cellStyle name="Currency 29 5 4" xfId="8563" xr:uid="{B0488DB8-AC3D-4BC0-884A-7C2D11972C71}"/>
    <cellStyle name="Currency 29 6" xfId="2222" xr:uid="{63E0F847-3631-474E-BD7A-6AE28AACA967}"/>
    <cellStyle name="Currency 29 6 2" xfId="5607" xr:uid="{888282C5-37F0-4256-8579-964D896F6D63}"/>
    <cellStyle name="Currency 29 6 3" xfId="8799" xr:uid="{99016F75-60F9-4F52-AE05-CDA3AFBD9EE0}"/>
    <cellStyle name="Currency 29 7" xfId="2458" xr:uid="{20BC278D-0EFF-4EB6-A02E-368E838593B3}"/>
    <cellStyle name="Currency 29 7 2" xfId="5837" xr:uid="{3D162D68-CEA2-4DED-8180-F4DB957D5557}"/>
    <cellStyle name="Currency 29 7 3" xfId="9029" xr:uid="{054DFB70-B7EE-4C21-80D2-F5AB4379C3F7}"/>
    <cellStyle name="Currency 29 8" xfId="2700" xr:uid="{A9B5A657-FBBA-44D8-8809-564FBE0E64D7}"/>
    <cellStyle name="Currency 29 8 2" xfId="6068" xr:uid="{2F99317D-81FD-4D53-B258-EFAC1C4AE51F}"/>
    <cellStyle name="Currency 29 8 3" xfId="9259" xr:uid="{43E89477-F6A8-4750-A2FD-90ED0C7E9353}"/>
    <cellStyle name="Currency 29 9" xfId="2933" xr:uid="{DB0D198A-7909-4F6E-8851-4DA2608E2264}"/>
    <cellStyle name="Currency 29 9 2" xfId="6301" xr:uid="{1827477B-D5D7-423A-A0D0-F24A098D60F8}"/>
    <cellStyle name="Currency 29 9 3" xfId="9489" xr:uid="{76B7FFC0-2FDD-49CB-99A8-30C429B245D3}"/>
    <cellStyle name="Currency 3" xfId="271" xr:uid="{00000000-0005-0000-0000-000082010000}"/>
    <cellStyle name="Currency 3 10" xfId="2934" xr:uid="{86487BBB-3BC9-422E-8643-0DD782B4F453}"/>
    <cellStyle name="Currency 3 10 2" xfId="6302" xr:uid="{01134D92-46BD-4781-9716-B9ED584C047E}"/>
    <cellStyle name="Currency 3 10 3" xfId="9490" xr:uid="{A9548443-B0CF-4BD6-B766-63A749EA2814}"/>
    <cellStyle name="Currency 3 11" xfId="3147" xr:uid="{6D927A9D-C47C-4089-9D86-1AC6EC7098DE}"/>
    <cellStyle name="Currency 3 11 2" xfId="6548" xr:uid="{E14AE5C4-7997-4DE7-A6C0-52D68BA9D6B2}"/>
    <cellStyle name="Currency 3 11 3" xfId="9731" xr:uid="{BF2D194E-5437-4AB0-846D-B4D9DFC02EB2}"/>
    <cellStyle name="Currency 3 12" xfId="6809" xr:uid="{B142E283-F01F-4211-8895-9E220E7A77B1}"/>
    <cellStyle name="Currency 3 12 2" xfId="9973" xr:uid="{64A60DAC-93AD-4838-95D3-42909DA8E843}"/>
    <cellStyle name="Currency 3 13" xfId="7104" xr:uid="{93776C6A-D6BF-4216-88EE-01AE8E22483D}"/>
    <cellStyle name="Currency 3 13 2" xfId="10246" xr:uid="{35D8BF20-560F-4E84-BDC6-BA2B6E6CDB5D}"/>
    <cellStyle name="Currency 3 14" xfId="7347" xr:uid="{342AA573-31B8-422E-8AC0-5A7B22B7EC76}"/>
    <cellStyle name="Currency 3 14 2" xfId="10485" xr:uid="{18B707DC-4DD3-4A14-AE37-5FF9EACE04BB}"/>
    <cellStyle name="Currency 3 15" xfId="7431" xr:uid="{98A3EE9A-DB56-4154-8226-C94DE11E6E83}"/>
    <cellStyle name="Currency 3 15 2" xfId="10566" xr:uid="{1E31BA78-2391-42C7-A2C9-A86414B608F9}"/>
    <cellStyle name="Currency 3 16" xfId="4378" xr:uid="{37CF4D16-E091-4509-966A-9213D261C162}"/>
    <cellStyle name="Currency 3 17" xfId="4459" xr:uid="{0EF066BC-A2F1-4589-A321-1F1D54371B50}"/>
    <cellStyle name="Currency 3 18" xfId="10952" xr:uid="{5D2E406D-B5C3-4FDE-9364-F80CDF8B0225}"/>
    <cellStyle name="Currency 3 19" xfId="11283" xr:uid="{35E28457-2A30-4C97-9492-8067A1D01660}"/>
    <cellStyle name="Currency 3 2" xfId="272" xr:uid="{00000000-0005-0000-0000-000083010000}"/>
    <cellStyle name="Currency 3 2 10" xfId="3148" xr:uid="{15CFF602-2340-423A-85F0-02C370AF9190}"/>
    <cellStyle name="Currency 3 2 10 2" xfId="6549" xr:uid="{45C05A2B-7183-4C37-B8A4-8E9B1F277805}"/>
    <cellStyle name="Currency 3 2 10 3" xfId="9732" xr:uid="{F2F37007-2E89-432B-A568-8650F0950FB0}"/>
    <cellStyle name="Currency 3 2 11" xfId="6810" xr:uid="{DD3236CF-ECCF-438A-884F-39ED5C38158B}"/>
    <cellStyle name="Currency 3 2 11 2" xfId="9974" xr:uid="{DD6597CB-78B9-43A1-B2D8-95C171C740AC}"/>
    <cellStyle name="Currency 3 2 12" xfId="7105" xr:uid="{D912562F-2F94-43DE-8181-273A776AA0D7}"/>
    <cellStyle name="Currency 3 2 12 2" xfId="10247" xr:uid="{7F22AD01-35CC-44DF-B462-9EBCBF9DD236}"/>
    <cellStyle name="Currency 3 2 13" xfId="7348" xr:uid="{E4839F96-5DB8-41A1-86DE-898C3522B685}"/>
    <cellStyle name="Currency 3 2 13 2" xfId="10486" xr:uid="{0F4AAB23-C122-4E27-9C95-9FE59A9D2F34}"/>
    <cellStyle name="Currency 3 2 14" xfId="7430" xr:uid="{EB1A6A30-99F4-400B-92C4-116A7DF8097F}"/>
    <cellStyle name="Currency 3 2 14 2" xfId="10565" xr:uid="{9CE46BF4-D0F3-44DD-AAC7-1C6D963C0A84}"/>
    <cellStyle name="Currency 3 2 15" xfId="4379" xr:uid="{9A673DF5-437D-427E-9729-EC89CD2E721B}"/>
    <cellStyle name="Currency 3 2 16" xfId="4458" xr:uid="{D679BD52-60B0-48B7-BC86-9165EAC7847A}"/>
    <cellStyle name="Currency 3 2 17" xfId="10953" xr:uid="{2432774C-E975-4134-9EF7-8BF2FC84217F}"/>
    <cellStyle name="Currency 3 2 18" xfId="11284" xr:uid="{FFC8E50E-57A5-4DC3-832E-9721A2D2FDEB}"/>
    <cellStyle name="Currency 3 2 19" xfId="11370" xr:uid="{FDAB559B-999D-40FC-8820-F0A055893EC9}"/>
    <cellStyle name="Currency 3 2 2" xfId="1277" xr:uid="{00000000-0005-0000-0000-000084010000}"/>
    <cellStyle name="Currency 3 2 2 2" xfId="3388" xr:uid="{5ED2427A-48A1-4508-92DC-128D2E762D8D}"/>
    <cellStyle name="Currency 3 2 2 3" xfId="4694" xr:uid="{52287A52-B903-471C-B21C-80CA4D547D97}"/>
    <cellStyle name="Currency 3 2 2 4" xfId="7907" xr:uid="{60F811DB-BD06-4EAB-A387-5579C7B35104}"/>
    <cellStyle name="Currency 3 2 20" xfId="11225" xr:uid="{9A50F062-3DBA-4F2D-8B76-6E2DD52F9360}"/>
    <cellStyle name="Currency 3 2 21" xfId="11844" xr:uid="{F3ADF348-8E5A-447F-AE87-5C2C380E8D59}"/>
    <cellStyle name="Currency 3 2 22" xfId="12045" xr:uid="{6334ED31-EBA4-417D-A8A7-163D4E713474}"/>
    <cellStyle name="Currency 3 2 23" xfId="12396" xr:uid="{EFE827B3-8055-408A-B4C9-A88286A0244D}"/>
    <cellStyle name="Currency 3 2 24" xfId="12499" xr:uid="{9931A648-413D-4361-86A6-9EB0C52FBC16}"/>
    <cellStyle name="Currency 3 2 25" xfId="12344" xr:uid="{9A1FDBA0-B7A9-483B-A180-650201F0FCF3}"/>
    <cellStyle name="Currency 3 2 26" xfId="13090" xr:uid="{1D82D64E-90FD-4B8D-9B44-294078F91F48}"/>
    <cellStyle name="Currency 3 2 27" xfId="13175" xr:uid="{36A87C3B-EAA2-480D-8552-73CE8156FF90}"/>
    <cellStyle name="Currency 3 2 3" xfId="1463" xr:uid="{00000000-0005-0000-0000-000085010000}"/>
    <cellStyle name="Currency 3 2 3 2" xfId="3573" xr:uid="{FCA824DD-2F4B-4EF9-91AE-608DCA31BFFD}"/>
    <cellStyle name="Currency 3 2 3 3" xfId="4879" xr:uid="{C293D6B5-DD9B-43BF-83E4-58EFD1208D2D}"/>
    <cellStyle name="Currency 3 2 3 4" xfId="8089" xr:uid="{E24C5A4C-720D-4211-BC0A-9962919ED65F}"/>
    <cellStyle name="Currency 3 2 4" xfId="1709" xr:uid="{00000000-0005-0000-0000-000086010000}"/>
    <cellStyle name="Currency 3 2 4 2" xfId="3810" xr:uid="{E34B4168-86E7-4970-9962-5A54355F4FF3}"/>
    <cellStyle name="Currency 3 2 4 3" xfId="5130" xr:uid="{26DDDE87-59B5-4955-8C60-02EEC4D53043}"/>
    <cellStyle name="Currency 3 2 4 4" xfId="8329" xr:uid="{4087DDCF-A44F-4EA0-8CCC-1A8EF227AB3F}"/>
    <cellStyle name="Currency 3 2 5" xfId="1969" xr:uid="{00000000-0005-0000-0000-000087010000}"/>
    <cellStyle name="Currency 3 2 5 2" xfId="4074" xr:uid="{0F7CCF25-3023-4F12-9E95-255EEFE17364}"/>
    <cellStyle name="Currency 3 2 5 3" xfId="5373" xr:uid="{8DD96759-1A4F-496A-B1D8-10C824BF27AE}"/>
    <cellStyle name="Currency 3 2 5 4" xfId="8565" xr:uid="{FB3EB695-13E0-4C71-8A76-0693EABEB58F}"/>
    <cellStyle name="Currency 3 2 6" xfId="2224" xr:uid="{0F26C856-3A6F-4371-819B-AE6837B24190}"/>
    <cellStyle name="Currency 3 2 6 2" xfId="5609" xr:uid="{5E274735-E9F0-42AD-ACD5-0BF861DEA43E}"/>
    <cellStyle name="Currency 3 2 6 3" xfId="8801" xr:uid="{EBF106C7-FE17-483F-8ED9-8C71ADE88B1C}"/>
    <cellStyle name="Currency 3 2 7" xfId="2460" xr:uid="{EBF2803C-5494-4C12-92C8-1AFD3D3A721D}"/>
    <cellStyle name="Currency 3 2 7 2" xfId="5839" xr:uid="{D0CF2AAF-FBFC-4FBB-A4FA-28ADE424E347}"/>
    <cellStyle name="Currency 3 2 7 3" xfId="9031" xr:uid="{A6097703-54EE-401F-9AD7-4937DC24D395}"/>
    <cellStyle name="Currency 3 2 8" xfId="2702" xr:uid="{182F3AD4-576F-4C9C-9BDA-5C5F96F02800}"/>
    <cellStyle name="Currency 3 2 8 2" xfId="6070" xr:uid="{91DCA449-19BE-49BF-B75F-98FCD166CC1F}"/>
    <cellStyle name="Currency 3 2 8 3" xfId="9261" xr:uid="{1D9EAB5B-6F9F-46B1-B872-0EFBA6021D91}"/>
    <cellStyle name="Currency 3 2 9" xfId="2935" xr:uid="{CD25924C-6957-4898-BB1D-6CC5BEF7A4D5}"/>
    <cellStyle name="Currency 3 2 9 2" xfId="6303" xr:uid="{7573739E-5841-4741-B27D-68F4337681B3}"/>
    <cellStyle name="Currency 3 2 9 3" xfId="9491" xr:uid="{25E31FDE-23F0-4638-A089-C99D92E618D2}"/>
    <cellStyle name="Currency 3 20" xfId="11371" xr:uid="{17807410-3EE0-45F1-BC94-D15E3677A026}"/>
    <cellStyle name="Currency 3 21" xfId="11224" xr:uid="{F42B840C-15BB-4E9A-B63E-E7CD4D33AA13}"/>
    <cellStyle name="Currency 3 22" xfId="11843" xr:uid="{A0BFDE44-6AA0-46A7-BEE6-DBBCD3CE0D39}"/>
    <cellStyle name="Currency 3 23" xfId="12044" xr:uid="{E42528BD-E5A6-4D65-A91F-FFF0A3E60D19}"/>
    <cellStyle name="Currency 3 24" xfId="12395" xr:uid="{7D9D553B-F9CA-41C1-B061-7FE668913DCF}"/>
    <cellStyle name="Currency 3 25" xfId="12500" xr:uid="{1848A594-9D4D-431F-86EC-F464E4242876}"/>
    <cellStyle name="Currency 3 26" xfId="12343" xr:uid="{378A525C-8F99-4196-A28A-7AB1603533F6}"/>
    <cellStyle name="Currency 3 27" xfId="13089" xr:uid="{C692DFAF-7975-477F-AB71-9F0F9A04B0F6}"/>
    <cellStyle name="Currency 3 28" xfId="13176" xr:uid="{BE8B808A-9885-4E0E-AB1A-E703A46C0972}"/>
    <cellStyle name="Currency 3 3" xfId="1276" xr:uid="{00000000-0005-0000-0000-000088010000}"/>
    <cellStyle name="Currency 3 3 2" xfId="3387" xr:uid="{9D195B0F-E56C-479E-A2F0-B4C039A88735}"/>
    <cellStyle name="Currency 3 3 3" xfId="4693" xr:uid="{98CEABF9-878A-4DAE-BC95-76A863E6E620}"/>
    <cellStyle name="Currency 3 3 4" xfId="7906" xr:uid="{3BCA17D3-FB82-4278-A896-BA9AB5228AB0}"/>
    <cellStyle name="Currency 3 4" xfId="1462" xr:uid="{00000000-0005-0000-0000-000089010000}"/>
    <cellStyle name="Currency 3 4 2" xfId="3572" xr:uid="{54DCB8AF-B8BC-4C15-B5CE-C2480AA11C0A}"/>
    <cellStyle name="Currency 3 4 3" xfId="4878" xr:uid="{EE2B17DD-CA02-4C95-AA4C-4FCE05A93C03}"/>
    <cellStyle name="Currency 3 4 4" xfId="8088" xr:uid="{B81D31F1-9B87-4EA8-AB50-50E6F6C413B9}"/>
    <cellStyle name="Currency 3 5" xfId="1708" xr:uid="{00000000-0005-0000-0000-00008A010000}"/>
    <cellStyle name="Currency 3 5 2" xfId="3809" xr:uid="{B32977F0-2507-4C54-8A34-736D5D8C1255}"/>
    <cellStyle name="Currency 3 5 3" xfId="5129" xr:uid="{D42D9DD4-27A6-4F46-80FB-56E8D3BB7559}"/>
    <cellStyle name="Currency 3 5 4" xfId="8328" xr:uid="{84BC9825-831B-46B4-A052-8922FCCC26B1}"/>
    <cellStyle name="Currency 3 6" xfId="1968" xr:uid="{00000000-0005-0000-0000-00008B010000}"/>
    <cellStyle name="Currency 3 6 2" xfId="4073" xr:uid="{E75E1C44-7BCA-4657-9E85-3589AE60770C}"/>
    <cellStyle name="Currency 3 6 3" xfId="5372" xr:uid="{2DFA5A67-885A-47B3-AE82-B3029A6D3785}"/>
    <cellStyle name="Currency 3 6 4" xfId="8564" xr:uid="{3D65AA39-BFB4-4A67-B3A7-185D5D15C23A}"/>
    <cellStyle name="Currency 3 7" xfId="2223" xr:uid="{D9355EA9-F687-4B9E-A3A4-5E7D96968CBF}"/>
    <cellStyle name="Currency 3 7 2" xfId="5608" xr:uid="{04E3F756-F247-492B-8703-EEAB316480BB}"/>
    <cellStyle name="Currency 3 7 3" xfId="8800" xr:uid="{A52D9582-4012-4AB5-90A9-AF5D8371F12C}"/>
    <cellStyle name="Currency 3 8" xfId="2459" xr:uid="{1F5D7E1B-2AE9-48E6-9677-EC66F6F76245}"/>
    <cellStyle name="Currency 3 8 2" xfId="5838" xr:uid="{50DF95E2-9619-43AA-A45F-31DDB457E3AA}"/>
    <cellStyle name="Currency 3 8 3" xfId="9030" xr:uid="{7F565676-DBEE-4DE2-BB42-75B4B445A7B3}"/>
    <cellStyle name="Currency 3 9" xfId="2701" xr:uid="{61C6616D-63FC-4B44-9B96-F68BAC96DFA7}"/>
    <cellStyle name="Currency 3 9 2" xfId="6069" xr:uid="{FCB9AB1F-B295-440D-9809-F8785BBF33B5}"/>
    <cellStyle name="Currency 3 9 3" xfId="9260" xr:uid="{58126A1B-42E5-43D7-B293-40E9AB487C1F}"/>
    <cellStyle name="Currency 30" xfId="273" xr:uid="{00000000-0005-0000-0000-00008C010000}"/>
    <cellStyle name="Currency 30 10" xfId="3149" xr:uid="{7A3EB8FE-BE73-4900-8981-2CACFD0AB434}"/>
    <cellStyle name="Currency 30 10 2" xfId="6550" xr:uid="{9255E414-93A1-450C-8922-0363C3446A77}"/>
    <cellStyle name="Currency 30 10 3" xfId="9733" xr:uid="{7D8E3972-E687-4CC5-9DB2-373F9AB74DE1}"/>
    <cellStyle name="Currency 30 11" xfId="6811" xr:uid="{BD4E8A5E-CA64-46CD-924C-126C64E4C2FE}"/>
    <cellStyle name="Currency 30 11 2" xfId="9975" xr:uid="{49428D3F-E038-42DF-AB99-22CB4AA9B99B}"/>
    <cellStyle name="Currency 30 12" xfId="7106" xr:uid="{3F8678F6-A0C4-45CD-8629-FA1C430BD87F}"/>
    <cellStyle name="Currency 30 12 2" xfId="10248" xr:uid="{259C4C90-7132-42AF-B2B4-E7E52B84C34D}"/>
    <cellStyle name="Currency 30 13" xfId="7349" xr:uid="{742D3E53-0ECF-416E-88F0-C7F317C34DB1}"/>
    <cellStyle name="Currency 30 13 2" xfId="10487" xr:uid="{54451F04-9F69-49AF-819A-93B6E1A9F888}"/>
    <cellStyle name="Currency 30 14" xfId="7429" xr:uid="{EA8E70A2-0EB6-4E0E-8332-C5692E079B2C}"/>
    <cellStyle name="Currency 30 14 2" xfId="10564" xr:uid="{DE3065C4-BBC1-45C0-B18D-B9E1F11330F5}"/>
    <cellStyle name="Currency 30 15" xfId="4380" xr:uid="{16AC9E7B-FA88-428F-80B1-5FF977F6E9DE}"/>
    <cellStyle name="Currency 30 16" xfId="4457" xr:uid="{8452E49F-36F6-404D-B3A1-2D6E50197B10}"/>
    <cellStyle name="Currency 30 17" xfId="10954" xr:uid="{CC9792EF-5F94-467A-BFCE-039875A40FAA}"/>
    <cellStyle name="Currency 30 18" xfId="11285" xr:uid="{681EC38B-862A-4F5C-977F-477DDBA3397E}"/>
    <cellStyle name="Currency 30 19" xfId="11369" xr:uid="{8A1BBAE4-8313-4AC8-AAE5-1878662A8B14}"/>
    <cellStyle name="Currency 30 2" xfId="1278" xr:uid="{00000000-0005-0000-0000-00008D010000}"/>
    <cellStyle name="Currency 30 2 2" xfId="3389" xr:uid="{E1F32590-ACCE-44B4-8B23-E01A7150AB5B}"/>
    <cellStyle name="Currency 30 2 3" xfId="4695" xr:uid="{DE071119-69A5-4F6A-AEFD-8D6BB9D220FE}"/>
    <cellStyle name="Currency 30 2 4" xfId="7908" xr:uid="{7FDC13F8-3131-4C7E-8EA2-E9701F4C4B22}"/>
    <cellStyle name="Currency 30 20" xfId="11226" xr:uid="{BB4492C2-4365-497B-9A54-DFBF7FD63EBB}"/>
    <cellStyle name="Currency 30 21" xfId="11845" xr:uid="{F71E1BA9-7A6A-430B-A152-36D92EA95F11}"/>
    <cellStyle name="Currency 30 22" xfId="12046" xr:uid="{7CE0884B-AB96-4F51-9F08-DE52EAFAC513}"/>
    <cellStyle name="Currency 30 23" xfId="12397" xr:uid="{6D5263DD-AA1F-49C2-82A0-056AD65F9F1D}"/>
    <cellStyle name="Currency 30 24" xfId="12498" xr:uid="{9A11F313-7D6F-45B0-8C43-F89AD1311C8D}"/>
    <cellStyle name="Currency 30 25" xfId="12345" xr:uid="{E68FB7B9-4A66-4162-965C-77CB8023175E}"/>
    <cellStyle name="Currency 30 26" xfId="13091" xr:uid="{28087BB4-798F-4D9E-9F2D-3A3DF7E222FE}"/>
    <cellStyle name="Currency 30 27" xfId="13174" xr:uid="{F8E78B5D-1A26-44E2-9DB4-3A7D07055E5C}"/>
    <cellStyle name="Currency 30 3" xfId="1464" xr:uid="{00000000-0005-0000-0000-00008E010000}"/>
    <cellStyle name="Currency 30 3 2" xfId="3574" xr:uid="{6C6C1548-04F9-4F67-B8F6-E0CF9A02B9EA}"/>
    <cellStyle name="Currency 30 3 3" xfId="4880" xr:uid="{7B529E64-DFFB-4FD1-AD2C-E705976B334C}"/>
    <cellStyle name="Currency 30 3 4" xfId="8090" xr:uid="{44A75753-C543-4039-B0D8-E78BA21D422D}"/>
    <cellStyle name="Currency 30 4" xfId="1710" xr:uid="{00000000-0005-0000-0000-00008F010000}"/>
    <cellStyle name="Currency 30 4 2" xfId="3811" xr:uid="{5B92FC5F-0594-41AF-B738-B2237BA8F00A}"/>
    <cellStyle name="Currency 30 4 3" xfId="5131" xr:uid="{6E423B63-0336-4E9D-BEE4-0D7FE7DE880B}"/>
    <cellStyle name="Currency 30 4 4" xfId="8330" xr:uid="{2C167BDF-746F-4327-81B1-3161372B19AA}"/>
    <cellStyle name="Currency 30 5" xfId="1970" xr:uid="{00000000-0005-0000-0000-000090010000}"/>
    <cellStyle name="Currency 30 5 2" xfId="4075" xr:uid="{68CFE65E-3A27-4082-ADF7-FE78E52E2293}"/>
    <cellStyle name="Currency 30 5 3" xfId="5374" xr:uid="{E5CECE88-7A11-4486-B07F-AB372B86C7E6}"/>
    <cellStyle name="Currency 30 5 4" xfId="8566" xr:uid="{F8148E1A-5E72-4A83-88FC-2EC41133B8FA}"/>
    <cellStyle name="Currency 30 6" xfId="2225" xr:uid="{61F52EA8-67CC-40BD-83D0-FE2E77D50B0A}"/>
    <cellStyle name="Currency 30 6 2" xfId="5610" xr:uid="{84E7C82B-1D75-472D-9053-CF625C99B1C1}"/>
    <cellStyle name="Currency 30 6 3" xfId="8802" xr:uid="{E7BDD115-6D56-4CF1-9F43-E9B4B782B620}"/>
    <cellStyle name="Currency 30 7" xfId="2461" xr:uid="{695639AB-C84E-4910-B406-FF624FF193F6}"/>
    <cellStyle name="Currency 30 7 2" xfId="5840" xr:uid="{6AD7C97F-5D36-49C9-8EB8-F862E64E0BF0}"/>
    <cellStyle name="Currency 30 7 3" xfId="9032" xr:uid="{925682F6-15B4-4E74-8CBB-B07E9CFA0CEC}"/>
    <cellStyle name="Currency 30 8" xfId="2703" xr:uid="{EFF2CBEC-879E-4AF2-8240-E262F385B8E8}"/>
    <cellStyle name="Currency 30 8 2" xfId="6071" xr:uid="{F3699FD9-AB48-4244-8649-269FA23B2DE4}"/>
    <cellStyle name="Currency 30 8 3" xfId="9262" xr:uid="{39B7893F-EF84-4616-93EF-9A4EA885BD72}"/>
    <cellStyle name="Currency 30 9" xfId="2936" xr:uid="{C9BBB38F-F5A9-43E6-AACE-E95216A44554}"/>
    <cellStyle name="Currency 30 9 2" xfId="6304" xr:uid="{52850A3B-0474-4731-B07B-D893CC94D816}"/>
    <cellStyle name="Currency 30 9 3" xfId="9492" xr:uid="{79302AC2-12CD-41D2-AA3C-371AAD4A82B0}"/>
    <cellStyle name="Currency 31" xfId="274" xr:uid="{00000000-0005-0000-0000-000091010000}"/>
    <cellStyle name="Currency 31 10" xfId="3150" xr:uid="{0D33C423-137F-4B2C-B575-AED2D444EA9A}"/>
    <cellStyle name="Currency 31 10 2" xfId="6551" xr:uid="{E62EE9F6-1A57-4B3A-9905-8090CE90F1AA}"/>
    <cellStyle name="Currency 31 10 3" xfId="9734" xr:uid="{5BD4CB0E-D939-4DFE-8C70-5B7DF065237B}"/>
    <cellStyle name="Currency 31 11" xfId="6812" xr:uid="{D9245337-FD69-42E3-9019-2A1B0A2DEE68}"/>
    <cellStyle name="Currency 31 11 2" xfId="9976" xr:uid="{81BDE333-E4B0-41E4-ABF2-697A45447FF6}"/>
    <cellStyle name="Currency 31 12" xfId="7107" xr:uid="{C5E80576-1EF1-41E5-AC84-B073789C0EAA}"/>
    <cellStyle name="Currency 31 12 2" xfId="10249" xr:uid="{D624B5E6-8FE3-487B-91F6-5060EF0BA642}"/>
    <cellStyle name="Currency 31 13" xfId="7350" xr:uid="{C5995FDF-30BD-41F3-B258-CDA92DBEB4F0}"/>
    <cellStyle name="Currency 31 13 2" xfId="10488" xr:uid="{A252C027-092B-4AF9-94CA-6616D2B4AA96}"/>
    <cellStyle name="Currency 31 14" xfId="7428" xr:uid="{43DEF7B7-50B0-47D8-8C6F-F506C0ABAA42}"/>
    <cellStyle name="Currency 31 14 2" xfId="10563" xr:uid="{6AC09955-56BF-46E1-B915-980102BA1E4C}"/>
    <cellStyle name="Currency 31 15" xfId="4381" xr:uid="{3F03A70A-B952-4A44-8C9C-9B78E38200CF}"/>
    <cellStyle name="Currency 31 16" xfId="4456" xr:uid="{46669473-7D9A-4CC7-8D1A-BFAD9173B4A1}"/>
    <cellStyle name="Currency 31 17" xfId="10955" xr:uid="{5750C2A4-D13C-4D40-BA90-765CDB1D340A}"/>
    <cellStyle name="Currency 31 18" xfId="11286" xr:uid="{32518CD5-91D1-44A4-8D93-54586597B48B}"/>
    <cellStyle name="Currency 31 19" xfId="11368" xr:uid="{BAD50695-FC8F-467F-B815-126874E02976}"/>
    <cellStyle name="Currency 31 2" xfId="1279" xr:uid="{00000000-0005-0000-0000-000092010000}"/>
    <cellStyle name="Currency 31 2 2" xfId="3390" xr:uid="{5459721A-BB2A-45E7-A277-7381B79F69B6}"/>
    <cellStyle name="Currency 31 2 3" xfId="4696" xr:uid="{EE2CF0AD-0F46-4BA1-AA45-1E110D9E8475}"/>
    <cellStyle name="Currency 31 2 4" xfId="7909" xr:uid="{81E28DCF-51B3-48D3-A35E-5BE5C49667D2}"/>
    <cellStyle name="Currency 31 20" xfId="11227" xr:uid="{CD95DA8F-ECCE-4EC6-A69F-69ED6AD553AE}"/>
    <cellStyle name="Currency 31 21" xfId="11846" xr:uid="{7EA197D9-AD5E-4841-8A89-D52801A09CDF}"/>
    <cellStyle name="Currency 31 22" xfId="12047" xr:uid="{A48BBEB0-BFA8-4D62-9A80-798E98C48451}"/>
    <cellStyle name="Currency 31 23" xfId="12398" xr:uid="{8B11C6E9-0041-4ECC-84C4-0973550A5BD8}"/>
    <cellStyle name="Currency 31 24" xfId="12497" xr:uid="{978E521D-8D66-4CDF-9466-4ABCE77829B6}"/>
    <cellStyle name="Currency 31 25" xfId="12346" xr:uid="{89B9359D-0945-46D5-B990-F5556D65062D}"/>
    <cellStyle name="Currency 31 26" xfId="13092" xr:uid="{BDEDF41F-C4DF-4276-899E-3FD50DBC6754}"/>
    <cellStyle name="Currency 31 27" xfId="13173" xr:uid="{93167E63-3B4C-4496-B2B3-E145B8AE77B2}"/>
    <cellStyle name="Currency 31 3" xfId="1465" xr:uid="{00000000-0005-0000-0000-000093010000}"/>
    <cellStyle name="Currency 31 3 2" xfId="3575" xr:uid="{3F1833F6-F20E-46F1-8EA5-9B6F4706782F}"/>
    <cellStyle name="Currency 31 3 3" xfId="4881" xr:uid="{56110A4F-60EF-43CC-A637-E8092F5DEFFA}"/>
    <cellStyle name="Currency 31 3 4" xfId="8091" xr:uid="{1B64C3B5-2B75-4A81-B5E2-E63C6FCDDD15}"/>
    <cellStyle name="Currency 31 4" xfId="1711" xr:uid="{00000000-0005-0000-0000-000094010000}"/>
    <cellStyle name="Currency 31 4 2" xfId="3812" xr:uid="{EB3326FF-B5FC-4540-BD28-AEC0294D983A}"/>
    <cellStyle name="Currency 31 4 3" xfId="5132" xr:uid="{65ACE0BF-665B-49A8-A052-C1EA367ADD83}"/>
    <cellStyle name="Currency 31 4 4" xfId="8331" xr:uid="{B298348E-73C9-4794-8673-AC99BC677E5B}"/>
    <cellStyle name="Currency 31 5" xfId="1971" xr:uid="{00000000-0005-0000-0000-000095010000}"/>
    <cellStyle name="Currency 31 5 2" xfId="4076" xr:uid="{6BE2EF11-13E1-454A-880A-0BC4BD745CAB}"/>
    <cellStyle name="Currency 31 5 3" xfId="5375" xr:uid="{785BF67B-3F80-4E40-84AA-BD03CA529A8A}"/>
    <cellStyle name="Currency 31 5 4" xfId="8567" xr:uid="{7EACAD69-849B-4E26-984D-1B99BFAF96FF}"/>
    <cellStyle name="Currency 31 6" xfId="2226" xr:uid="{7C9606D6-4607-4529-8768-69CCB19119BF}"/>
    <cellStyle name="Currency 31 6 2" xfId="5611" xr:uid="{AD841046-D32A-4F5D-81DA-5BB5A1962062}"/>
    <cellStyle name="Currency 31 6 3" xfId="8803" xr:uid="{74906B2A-207A-4BB4-8733-A43B7819113E}"/>
    <cellStyle name="Currency 31 7" xfId="2462" xr:uid="{20A3F385-B675-4B49-AF5A-2E83B89C3DDE}"/>
    <cellStyle name="Currency 31 7 2" xfId="5841" xr:uid="{E6CF0DD7-5B65-4ACA-A23C-BF9A4E6BDE3F}"/>
    <cellStyle name="Currency 31 7 3" xfId="9033" xr:uid="{E354B547-3BBD-436D-AA50-6A28D70DB63F}"/>
    <cellStyle name="Currency 31 8" xfId="2704" xr:uid="{CA83477D-BE3F-407B-9D99-30C44C594DE2}"/>
    <cellStyle name="Currency 31 8 2" xfId="6072" xr:uid="{90B1985D-3F08-475B-BF41-71D6CE829A24}"/>
    <cellStyle name="Currency 31 8 3" xfId="9263" xr:uid="{69B57025-AC31-49DA-BE4C-155A14E2BDB0}"/>
    <cellStyle name="Currency 31 9" xfId="2937" xr:uid="{B856C03B-01FA-446B-B7D3-7C9A0402D21E}"/>
    <cellStyle name="Currency 31 9 2" xfId="6305" xr:uid="{C87B0531-A372-4E2F-8AA0-C4F6BCB8827C}"/>
    <cellStyle name="Currency 31 9 3" xfId="9493" xr:uid="{52F7174D-1F47-4D1A-849C-5BA8596D38E1}"/>
    <cellStyle name="Currency 32" xfId="275" xr:uid="{00000000-0005-0000-0000-000096010000}"/>
    <cellStyle name="Currency 32 10" xfId="3151" xr:uid="{FCAA9112-B6FD-4912-A5C6-E84F96C031CD}"/>
    <cellStyle name="Currency 32 10 2" xfId="6552" xr:uid="{6816DBF3-A051-4789-8BBD-BCF5E3248C85}"/>
    <cellStyle name="Currency 32 10 3" xfId="9735" xr:uid="{1BFD5DDB-5367-4264-9802-63A16B51E144}"/>
    <cellStyle name="Currency 32 11" xfId="6813" xr:uid="{D2F492A9-6409-4BE9-A599-0494B4A5338E}"/>
    <cellStyle name="Currency 32 11 2" xfId="9977" xr:uid="{CC3B0F3A-9B0E-45A8-B26E-19C936B48D43}"/>
    <cellStyle name="Currency 32 12" xfId="7108" xr:uid="{7D7878CF-0F7E-4DD5-BEF4-C46CFF179E3D}"/>
    <cellStyle name="Currency 32 12 2" xfId="10250" xr:uid="{FB3E9C2B-804B-4E75-A831-543B4DCF48E1}"/>
    <cellStyle name="Currency 32 13" xfId="7351" xr:uid="{FC86E2EE-9854-43DA-973D-E9837B783C19}"/>
    <cellStyle name="Currency 32 13 2" xfId="10489" xr:uid="{DD100A8E-4F64-4D97-B4A9-83DDCFF21C83}"/>
    <cellStyle name="Currency 32 14" xfId="7427" xr:uid="{B364CE79-164D-4AA7-A9B1-040224AABD85}"/>
    <cellStyle name="Currency 32 14 2" xfId="10562" xr:uid="{011904C0-5D80-480D-AABA-E53630F682B3}"/>
    <cellStyle name="Currency 32 15" xfId="4382" xr:uid="{2FC91A93-286A-48E0-BC12-8A40C32A25B7}"/>
    <cellStyle name="Currency 32 16" xfId="4455" xr:uid="{86BCC7DF-82BB-4675-AA16-342F1A64E373}"/>
    <cellStyle name="Currency 32 17" xfId="10956" xr:uid="{32DED416-AE65-4529-B657-C13EEDDEADF7}"/>
    <cellStyle name="Currency 32 18" xfId="11287" xr:uid="{9F1C1AF3-1098-45BA-8B94-20847414FFA0}"/>
    <cellStyle name="Currency 32 19" xfId="11367" xr:uid="{5D29512F-BF6C-43AE-B8CA-BD299BCF0E7B}"/>
    <cellStyle name="Currency 32 2" xfId="1280" xr:uid="{00000000-0005-0000-0000-000097010000}"/>
    <cellStyle name="Currency 32 2 2" xfId="3391" xr:uid="{BFAE2185-B9C5-4CED-9F78-C4E9178FC18F}"/>
    <cellStyle name="Currency 32 2 3" xfId="4697" xr:uid="{85B96962-2471-4BCA-8B05-512972FEB377}"/>
    <cellStyle name="Currency 32 2 4" xfId="7910" xr:uid="{15023E97-8D9D-4B8B-8BCB-68A7DF43ABA3}"/>
    <cellStyle name="Currency 32 20" xfId="11228" xr:uid="{9DBCCC5F-6411-4EEF-BD7F-5C2C7D316BD3}"/>
    <cellStyle name="Currency 32 21" xfId="11847" xr:uid="{ABC505E2-0463-494D-95D2-2CC77931D566}"/>
    <cellStyle name="Currency 32 22" xfId="12048" xr:uid="{AE7702BA-D142-4384-86F0-3FDD064E63B7}"/>
    <cellStyle name="Currency 32 23" xfId="12399" xr:uid="{E7AEA831-2186-4F39-91F7-205012548ADE}"/>
    <cellStyle name="Currency 32 24" xfId="12496" xr:uid="{2180B078-3D3D-439C-875D-E87C9B592FBB}"/>
    <cellStyle name="Currency 32 25" xfId="12726" xr:uid="{284C1BF2-F2E4-4B72-A325-B37042515D7E}"/>
    <cellStyle name="Currency 32 26" xfId="13093" xr:uid="{B68DD4A4-7013-4C5D-92CC-34734D427A00}"/>
    <cellStyle name="Currency 32 27" xfId="13172" xr:uid="{073C195B-650F-484D-A2F3-392D45414D68}"/>
    <cellStyle name="Currency 32 3" xfId="1466" xr:uid="{00000000-0005-0000-0000-000098010000}"/>
    <cellStyle name="Currency 32 3 2" xfId="3576" xr:uid="{7382185E-876E-4808-BD11-DEB74A925F2F}"/>
    <cellStyle name="Currency 32 3 3" xfId="4882" xr:uid="{13B0E276-EEF2-4ACB-94D1-1CA905A5930E}"/>
    <cellStyle name="Currency 32 3 4" xfId="8092" xr:uid="{3B1D0B69-7CF4-487A-9042-735306C4CC27}"/>
    <cellStyle name="Currency 32 4" xfId="1712" xr:uid="{00000000-0005-0000-0000-000099010000}"/>
    <cellStyle name="Currency 32 4 2" xfId="3813" xr:uid="{2CCE0533-374F-4EDC-9E7F-A8779A895436}"/>
    <cellStyle name="Currency 32 4 3" xfId="5133" xr:uid="{8636BB7D-A2C4-4909-B981-666561A127B8}"/>
    <cellStyle name="Currency 32 4 4" xfId="8332" xr:uid="{C9EB61D2-C3EA-40B9-A1AF-083F66B44D8E}"/>
    <cellStyle name="Currency 32 5" xfId="1972" xr:uid="{00000000-0005-0000-0000-00009A010000}"/>
    <cellStyle name="Currency 32 5 2" xfId="4077" xr:uid="{B0BF1EB1-A05A-4D71-BE9A-72A2A283987F}"/>
    <cellStyle name="Currency 32 5 3" xfId="5376" xr:uid="{4F914D04-BD8B-4A8F-89F3-1BBF84771630}"/>
    <cellStyle name="Currency 32 5 4" xfId="8568" xr:uid="{AE1CE238-D87E-4FAB-8161-F0308761915B}"/>
    <cellStyle name="Currency 32 6" xfId="2227" xr:uid="{76E4F213-E4BC-409A-8E82-1626A092F0E4}"/>
    <cellStyle name="Currency 32 6 2" xfId="5612" xr:uid="{39EE7278-20AB-4C0D-B14F-C64D64665FBE}"/>
    <cellStyle name="Currency 32 6 3" xfId="8804" xr:uid="{1F770C7F-B93B-4998-BC42-B2F8B35EE3CF}"/>
    <cellStyle name="Currency 32 7" xfId="2463" xr:uid="{10C0491B-1B79-412B-855A-FBD2F7C15527}"/>
    <cellStyle name="Currency 32 7 2" xfId="5842" xr:uid="{E2E1BD6A-076E-4F12-BFFA-99BAAA32E646}"/>
    <cellStyle name="Currency 32 7 3" xfId="9034" xr:uid="{27730387-984D-4BFA-ADF4-BB18DD4F371A}"/>
    <cellStyle name="Currency 32 8" xfId="2705" xr:uid="{EEBD0A2E-C17C-43BC-B59A-7370C42746B4}"/>
    <cellStyle name="Currency 32 8 2" xfId="6073" xr:uid="{449B00F2-DEF0-48C3-9CF6-EEFE3281CDA7}"/>
    <cellStyle name="Currency 32 8 3" xfId="9264" xr:uid="{5AE0A38C-7BC3-40E0-BA8B-A0F1F1C7D581}"/>
    <cellStyle name="Currency 32 9" xfId="2938" xr:uid="{A330EC87-0388-41A5-8F1F-6B58CF00ED2D}"/>
    <cellStyle name="Currency 32 9 2" xfId="6306" xr:uid="{2A815636-5E4B-45EF-BC2D-3C5EC4877387}"/>
    <cellStyle name="Currency 32 9 3" xfId="9494" xr:uid="{7D18C1E2-287B-48DF-AAD7-39A99D109300}"/>
    <cellStyle name="Currency 33" xfId="276" xr:uid="{00000000-0005-0000-0000-00009B010000}"/>
    <cellStyle name="Currency 33 10" xfId="3152" xr:uid="{1D6E482E-73FC-4F16-9B3E-427082BFDB84}"/>
    <cellStyle name="Currency 33 10 2" xfId="6553" xr:uid="{BF9CD24A-373E-44A7-90A2-BB9D099F5420}"/>
    <cellStyle name="Currency 33 10 3" xfId="9736" xr:uid="{C053E468-8162-43BD-B1DC-501B3B36CED7}"/>
    <cellStyle name="Currency 33 11" xfId="6814" xr:uid="{4FA65207-73D8-46A5-939C-E281203362E5}"/>
    <cellStyle name="Currency 33 11 2" xfId="9978" xr:uid="{A9EAFCDA-78C5-4610-ABD9-DFD0F586D861}"/>
    <cellStyle name="Currency 33 12" xfId="7109" xr:uid="{3FF99A64-2AF9-47C9-B657-3F723F79EA3B}"/>
    <cellStyle name="Currency 33 12 2" xfId="10251" xr:uid="{57AA8CE6-E8F8-4961-A132-C92784A93339}"/>
    <cellStyle name="Currency 33 13" xfId="7352" xr:uid="{86D0B8F0-B22F-4F9B-A252-8ADABDE2AF1D}"/>
    <cellStyle name="Currency 33 13 2" xfId="10490" xr:uid="{25666B43-6590-4776-B0A0-4560E319B1BD}"/>
    <cellStyle name="Currency 33 14" xfId="7426" xr:uid="{7712EBC6-9C28-4CF3-87BA-B569B424D600}"/>
    <cellStyle name="Currency 33 14 2" xfId="10561" xr:uid="{F541134F-F630-44C8-83FB-4BEFEAED2A03}"/>
    <cellStyle name="Currency 33 15" xfId="4383" xr:uid="{E7759537-793F-4F72-B262-2C1E9D286D5D}"/>
    <cellStyle name="Currency 33 16" xfId="4454" xr:uid="{B18A6D3E-D5F3-4FCE-8762-10309ACCFFED}"/>
    <cellStyle name="Currency 33 17" xfId="10957" xr:uid="{D7DB178A-8B86-4112-97B9-D14D3348AD6D}"/>
    <cellStyle name="Currency 33 18" xfId="11288" xr:uid="{4BC3EE73-1C23-40DD-AEBA-D343FF5A6719}"/>
    <cellStyle name="Currency 33 19" xfId="11366" xr:uid="{CFEA09A1-6C89-488A-A44B-399963FE0DBD}"/>
    <cellStyle name="Currency 33 2" xfId="1281" xr:uid="{00000000-0005-0000-0000-00009C010000}"/>
    <cellStyle name="Currency 33 2 2" xfId="3392" xr:uid="{602DC569-E438-4563-8664-F206135B9C06}"/>
    <cellStyle name="Currency 33 2 3" xfId="4698" xr:uid="{D117574A-CDFD-418F-831C-059B8E9FD82A}"/>
    <cellStyle name="Currency 33 2 4" xfId="7911" xr:uid="{435D14B5-E86B-4267-A7BD-2159FE4B5C2F}"/>
    <cellStyle name="Currency 33 20" xfId="11229" xr:uid="{478C50E8-9D01-40FA-8BFE-2DABECE757C8}"/>
    <cellStyle name="Currency 33 21" xfId="11848" xr:uid="{EA9DD8CE-22E9-4AEE-A6BA-54B9D2AAF9FE}"/>
    <cellStyle name="Currency 33 22" xfId="12049" xr:uid="{983DAD6E-F5F0-4E13-B2E4-5B8B9F24A3B5}"/>
    <cellStyle name="Currency 33 23" xfId="12400" xr:uid="{99B4FD86-EC78-4E33-AB4F-BDFC8D3CC29D}"/>
    <cellStyle name="Currency 33 24" xfId="12495" xr:uid="{9B1F8205-1954-4AAF-8A75-7886D43EED8B}"/>
    <cellStyle name="Currency 33 25" xfId="12347" xr:uid="{378935F9-7B56-45EA-A71C-BDC0567D8FEC}"/>
    <cellStyle name="Currency 33 26" xfId="13094" xr:uid="{09901CA9-AF57-43EE-9C50-C32B19D47E92}"/>
    <cellStyle name="Currency 33 27" xfId="13171" xr:uid="{BBDA3418-5571-4023-B7C9-130E014007D9}"/>
    <cellStyle name="Currency 33 3" xfId="1467" xr:uid="{00000000-0005-0000-0000-00009D010000}"/>
    <cellStyle name="Currency 33 3 2" xfId="3577" xr:uid="{A5666ECB-3D21-4394-BDF6-6176BA7F60E7}"/>
    <cellStyle name="Currency 33 3 3" xfId="4883" xr:uid="{79614B65-2BB8-4236-A8DA-73231A814F59}"/>
    <cellStyle name="Currency 33 3 4" xfId="8093" xr:uid="{A0570655-201A-40C3-8605-FC4A8ADDA54C}"/>
    <cellStyle name="Currency 33 4" xfId="1713" xr:uid="{00000000-0005-0000-0000-00009E010000}"/>
    <cellStyle name="Currency 33 4 2" xfId="3814" xr:uid="{93F6446B-D9A2-4CA2-9227-6FABA9213889}"/>
    <cellStyle name="Currency 33 4 3" xfId="5134" xr:uid="{61271C00-66B9-4C3C-972D-E182859B8354}"/>
    <cellStyle name="Currency 33 4 4" xfId="8333" xr:uid="{6E678E60-120B-4FDC-AF9F-7F4F9302CC10}"/>
    <cellStyle name="Currency 33 5" xfId="1973" xr:uid="{00000000-0005-0000-0000-00009F010000}"/>
    <cellStyle name="Currency 33 5 2" xfId="4078" xr:uid="{EF1E477D-FA77-4EBA-9588-3DF8218DCE4B}"/>
    <cellStyle name="Currency 33 5 3" xfId="5377" xr:uid="{5F5F7314-F129-46E1-87DD-C6FF89ACACC7}"/>
    <cellStyle name="Currency 33 5 4" xfId="8569" xr:uid="{C9134465-C5B2-4B71-BBBE-F0AA44061BB2}"/>
    <cellStyle name="Currency 33 6" xfId="2228" xr:uid="{6DF7E751-1DAE-41E4-9788-6A860AE11072}"/>
    <cellStyle name="Currency 33 6 2" xfId="5613" xr:uid="{B6FD3A60-E70A-4286-B8CC-584755D8373C}"/>
    <cellStyle name="Currency 33 6 3" xfId="8805" xr:uid="{79399321-BC03-4AC5-A322-DBFB17DC1575}"/>
    <cellStyle name="Currency 33 7" xfId="2464" xr:uid="{D4123084-4A69-427A-9D57-C965508E02B2}"/>
    <cellStyle name="Currency 33 7 2" xfId="5843" xr:uid="{262CA9CB-FCA5-4E56-A050-575D14141C97}"/>
    <cellStyle name="Currency 33 7 3" xfId="9035" xr:uid="{E86666F3-AF47-4424-8E04-4364D0749B23}"/>
    <cellStyle name="Currency 33 8" xfId="2706" xr:uid="{716C6797-6680-420A-9527-0624CC9D9A5C}"/>
    <cellStyle name="Currency 33 8 2" xfId="6074" xr:uid="{BB0D7D0E-2F8A-46B5-A220-B10F8BB4BF85}"/>
    <cellStyle name="Currency 33 8 3" xfId="9265" xr:uid="{C77434A0-3AC7-42EF-9DFA-95C74914DAE4}"/>
    <cellStyle name="Currency 33 9" xfId="2939" xr:uid="{9DF44EEF-44F2-45B3-8B6F-99B29B73325E}"/>
    <cellStyle name="Currency 33 9 2" xfId="6307" xr:uid="{9C61CED1-245A-49D0-A4E5-D8FC7E1EB3AE}"/>
    <cellStyle name="Currency 33 9 3" xfId="9495" xr:uid="{98F76BAA-C754-4D50-85D6-45CE2295394D}"/>
    <cellStyle name="Currency 34" xfId="277" xr:uid="{00000000-0005-0000-0000-0000A0010000}"/>
    <cellStyle name="Currency 34 10" xfId="3153" xr:uid="{A6EBD978-9B5C-4018-A3DD-F3966B9ABB9E}"/>
    <cellStyle name="Currency 34 10 2" xfId="6554" xr:uid="{125AFB09-972E-4E0F-9D83-B332BFE14212}"/>
    <cellStyle name="Currency 34 10 3" xfId="9737" xr:uid="{9B736940-1C55-4950-91E0-45542D56F44C}"/>
    <cellStyle name="Currency 34 11" xfId="6815" xr:uid="{E55BC686-86E0-4025-B5F6-AF3C7C93E3F2}"/>
    <cellStyle name="Currency 34 11 2" xfId="9979" xr:uid="{CFCB5AD4-10F2-4C0B-ABD1-7D13A6418945}"/>
    <cellStyle name="Currency 34 12" xfId="7110" xr:uid="{5442C17D-F592-4CCC-8BDC-D086198036AD}"/>
    <cellStyle name="Currency 34 12 2" xfId="10252" xr:uid="{F7567EB8-C99E-4D6D-AA91-C918F80F9232}"/>
    <cellStyle name="Currency 34 13" xfId="7353" xr:uid="{5F4833C9-8E70-454C-8CD5-3A115C311CFB}"/>
    <cellStyle name="Currency 34 13 2" xfId="10491" xr:uid="{635202FC-1E11-4AC5-A07E-8B6394E79DD1}"/>
    <cellStyle name="Currency 34 14" xfId="7425" xr:uid="{17670BB7-8A45-42AF-B965-FAC863A30078}"/>
    <cellStyle name="Currency 34 14 2" xfId="10560" xr:uid="{90F798B6-F3CF-49C7-BB28-48C010D87850}"/>
    <cellStyle name="Currency 34 15" xfId="4384" xr:uid="{9DCF24A9-86FF-4949-A03E-C4282229E8CE}"/>
    <cellStyle name="Currency 34 16" xfId="4453" xr:uid="{FFBED3DB-9B43-490C-9630-66FBF56A5139}"/>
    <cellStyle name="Currency 34 17" xfId="10958" xr:uid="{15AF2936-1AEA-4F0B-9097-ED00CBBBD5E7}"/>
    <cellStyle name="Currency 34 18" xfId="11289" xr:uid="{B338B8E1-460C-417A-8C1F-12657ABE569D}"/>
    <cellStyle name="Currency 34 19" xfId="11365" xr:uid="{5FD57823-ECDC-4ECC-A78E-1D0EBFD4A74B}"/>
    <cellStyle name="Currency 34 2" xfId="1282" xr:uid="{00000000-0005-0000-0000-0000A1010000}"/>
    <cellStyle name="Currency 34 2 2" xfId="3393" xr:uid="{94378224-FCD8-4CEB-9519-B10BD27F54A2}"/>
    <cellStyle name="Currency 34 2 3" xfId="4699" xr:uid="{1B8EDEBA-D344-4EA1-BD42-36A383D4A0E2}"/>
    <cellStyle name="Currency 34 2 4" xfId="7912" xr:uid="{6BF0B820-FCBE-4D8A-B3CF-7A3F82B03603}"/>
    <cellStyle name="Currency 34 20" xfId="11230" xr:uid="{A80198B0-FD9A-42F0-9E18-CCE3DE17EAF5}"/>
    <cellStyle name="Currency 34 21" xfId="11849" xr:uid="{B53300B7-5787-4841-A0B7-96DC9BCB4978}"/>
    <cellStyle name="Currency 34 22" xfId="12050" xr:uid="{424E428E-959E-484A-B52F-997619B91866}"/>
    <cellStyle name="Currency 34 23" xfId="12401" xr:uid="{6AB6E2B9-93F8-4A5A-A823-C6A54271ED6E}"/>
    <cellStyle name="Currency 34 24" xfId="12494" xr:uid="{4B4658A8-A034-43AB-A753-F22D6E827B1F}"/>
    <cellStyle name="Currency 34 25" xfId="12348" xr:uid="{FBE263C9-A42F-44DC-9700-FB818AB44BBF}"/>
    <cellStyle name="Currency 34 26" xfId="13095" xr:uid="{8C448186-E70D-45A1-BADA-E7CDA9E8801E}"/>
    <cellStyle name="Currency 34 27" xfId="13170" xr:uid="{3876DAA9-8D30-49ED-9042-BEDA19D4E20C}"/>
    <cellStyle name="Currency 34 3" xfId="1468" xr:uid="{00000000-0005-0000-0000-0000A2010000}"/>
    <cellStyle name="Currency 34 3 2" xfId="3578" xr:uid="{059809BC-58DF-4D20-813C-827F09148D7C}"/>
    <cellStyle name="Currency 34 3 3" xfId="4884" xr:uid="{68C1CF58-18E2-49B7-ABB4-A62683809EDC}"/>
    <cellStyle name="Currency 34 3 4" xfId="8094" xr:uid="{AF990192-5899-4C5C-BA01-246C0FCD4934}"/>
    <cellStyle name="Currency 34 4" xfId="1714" xr:uid="{00000000-0005-0000-0000-0000A3010000}"/>
    <cellStyle name="Currency 34 4 2" xfId="3815" xr:uid="{C9E28BBE-9342-4AC7-B257-091C762F6274}"/>
    <cellStyle name="Currency 34 4 3" xfId="5135" xr:uid="{506182D2-05AD-4835-BD2A-DADC60DF4EA6}"/>
    <cellStyle name="Currency 34 4 4" xfId="8334" xr:uid="{45FBAA06-E87E-4D17-B198-44B4E766F1B3}"/>
    <cellStyle name="Currency 34 5" xfId="1974" xr:uid="{00000000-0005-0000-0000-0000A4010000}"/>
    <cellStyle name="Currency 34 5 2" xfId="4079" xr:uid="{7F590E18-A1C6-4939-AC56-FEF7CA15F08A}"/>
    <cellStyle name="Currency 34 5 3" xfId="5378" xr:uid="{8550A0C2-A5D2-43BC-86C8-052C7045C5BC}"/>
    <cellStyle name="Currency 34 5 4" xfId="8570" xr:uid="{66AF3B8D-A664-4ED1-93AA-83204855E913}"/>
    <cellStyle name="Currency 34 6" xfId="2229" xr:uid="{04B3AF3F-470F-4702-9915-4B281A519838}"/>
    <cellStyle name="Currency 34 6 2" xfId="5614" xr:uid="{059C85B3-DD30-4EBC-A210-506366FBC325}"/>
    <cellStyle name="Currency 34 6 3" xfId="8806" xr:uid="{80777D0B-E2A1-472E-96BC-C070F42AFCDA}"/>
    <cellStyle name="Currency 34 7" xfId="2465" xr:uid="{4DC0A611-6949-44AA-9CB5-36299E198034}"/>
    <cellStyle name="Currency 34 7 2" xfId="5844" xr:uid="{5BD8D025-1D6B-45AD-9C34-790D9A1253B4}"/>
    <cellStyle name="Currency 34 7 3" xfId="9036" xr:uid="{86BA5AFA-58F9-40CF-B42F-2BFF433A5D01}"/>
    <cellStyle name="Currency 34 8" xfId="2707" xr:uid="{6938292B-C99F-41D7-8424-35C84BF4DB88}"/>
    <cellStyle name="Currency 34 8 2" xfId="6075" xr:uid="{24139924-B3B9-4700-9661-46774A6C086F}"/>
    <cellStyle name="Currency 34 8 3" xfId="9266" xr:uid="{3CFF1038-C20E-4264-AAC3-A2619028168A}"/>
    <cellStyle name="Currency 34 9" xfId="2940" xr:uid="{9CAB69DB-6885-4EAA-8B95-F91DA4BFB472}"/>
    <cellStyle name="Currency 34 9 2" xfId="6308" xr:uid="{BE748BB7-6843-4584-8769-7C0D1FDB5570}"/>
    <cellStyle name="Currency 34 9 3" xfId="9496" xr:uid="{3E63ECBB-3E30-4B34-B85B-F8F63C538AE3}"/>
    <cellStyle name="Currency 35" xfId="278" xr:uid="{00000000-0005-0000-0000-0000A5010000}"/>
    <cellStyle name="Currency 35 10" xfId="3154" xr:uid="{3CD82613-7833-4BA4-8326-4147DE8037AE}"/>
    <cellStyle name="Currency 35 10 2" xfId="6555" xr:uid="{50402167-4305-4B5A-888B-508FBCFFE013}"/>
    <cellStyle name="Currency 35 10 3" xfId="9738" xr:uid="{D9A9998D-8D27-4B2A-8DD9-9EE2951F78BA}"/>
    <cellStyle name="Currency 35 11" xfId="6816" xr:uid="{62FAA368-56BB-4665-9399-2AC20CD1545F}"/>
    <cellStyle name="Currency 35 11 2" xfId="9980" xr:uid="{AB251612-C4F2-408C-B7F6-C03769AA93AE}"/>
    <cellStyle name="Currency 35 12" xfId="7111" xr:uid="{B3251155-D200-42EC-A204-68068033C2E1}"/>
    <cellStyle name="Currency 35 12 2" xfId="10253" xr:uid="{2C2032D0-DE3B-4384-9225-98BDAF6E5329}"/>
    <cellStyle name="Currency 35 13" xfId="7354" xr:uid="{2555C0F6-105D-417F-8DF7-0EBC63FF4531}"/>
    <cellStyle name="Currency 35 13 2" xfId="10492" xr:uid="{6430625F-1D64-4480-B778-6C80A3E1B284}"/>
    <cellStyle name="Currency 35 14" xfId="7424" xr:uid="{ED32838F-B655-4EBB-85FE-DBD7F34582DF}"/>
    <cellStyle name="Currency 35 14 2" xfId="10559" xr:uid="{4CA20BE2-621C-439E-8265-2E04499F326B}"/>
    <cellStyle name="Currency 35 15" xfId="4385" xr:uid="{C3A57EB9-0469-4555-9668-D02868CBC02F}"/>
    <cellStyle name="Currency 35 16" xfId="4452" xr:uid="{CCBC58C5-4C06-4314-AFA5-2A3DE874C283}"/>
    <cellStyle name="Currency 35 17" xfId="10959" xr:uid="{CFA2AFB6-29D3-4ADA-9EDD-93B747DF6AE1}"/>
    <cellStyle name="Currency 35 18" xfId="11290" xr:uid="{1FDF5FA8-DD33-465C-BD1A-C3364153FE8A}"/>
    <cellStyle name="Currency 35 19" xfId="11364" xr:uid="{EC05AC31-4D75-4821-A2B9-38D0C57A32D0}"/>
    <cellStyle name="Currency 35 2" xfId="1283" xr:uid="{00000000-0005-0000-0000-0000A6010000}"/>
    <cellStyle name="Currency 35 2 2" xfId="3394" xr:uid="{252719FE-7403-4FC3-A4C6-295654D8737C}"/>
    <cellStyle name="Currency 35 2 3" xfId="4700" xr:uid="{027F8733-8576-4C70-A224-CC52B02925E1}"/>
    <cellStyle name="Currency 35 2 4" xfId="7913" xr:uid="{EA719496-FFDD-4BEA-8050-1EB3C0DD6EB3}"/>
    <cellStyle name="Currency 35 20" xfId="11231" xr:uid="{610937F4-C6EE-4C0E-98E0-D4ECF4EFB356}"/>
    <cellStyle name="Currency 35 21" xfId="11850" xr:uid="{F9CE9ED1-AF86-4A53-9D24-F23949491D50}"/>
    <cellStyle name="Currency 35 22" xfId="12051" xr:uid="{D12F2713-84F4-42DC-8502-9828BBD8FAD0}"/>
    <cellStyle name="Currency 35 23" xfId="12402" xr:uid="{A424FECF-800A-4530-9EAB-1245FAE95CE3}"/>
    <cellStyle name="Currency 35 24" xfId="12493" xr:uid="{1CE8F1C0-2915-4163-AF95-D73C4F7E7F78}"/>
    <cellStyle name="Currency 35 25" xfId="12349" xr:uid="{75D8767F-088C-4F89-B2AC-2CD0EF5DF5F1}"/>
    <cellStyle name="Currency 35 26" xfId="13096" xr:uid="{50C620CC-4917-4576-8BC5-60CDA002E551}"/>
    <cellStyle name="Currency 35 27" xfId="13169" xr:uid="{5FE68F07-86F6-4D11-8C76-410212853EF8}"/>
    <cellStyle name="Currency 35 3" xfId="1469" xr:uid="{00000000-0005-0000-0000-0000A7010000}"/>
    <cellStyle name="Currency 35 3 2" xfId="3579" xr:uid="{1C0F25E9-05BE-422A-B2EE-A56D46D6BC5D}"/>
    <cellStyle name="Currency 35 3 3" xfId="4885" xr:uid="{EB6D3568-2662-4590-9123-2B59BE0B29AD}"/>
    <cellStyle name="Currency 35 3 4" xfId="8095" xr:uid="{F8FC6936-6E7D-4217-B0FF-622388408E27}"/>
    <cellStyle name="Currency 35 4" xfId="1715" xr:uid="{00000000-0005-0000-0000-0000A8010000}"/>
    <cellStyle name="Currency 35 4 2" xfId="3816" xr:uid="{C733C886-6871-4EF9-8365-5922BF4CBEA3}"/>
    <cellStyle name="Currency 35 4 3" xfId="5136" xr:uid="{D9741E5C-D246-415A-8F1F-7865B0227A63}"/>
    <cellStyle name="Currency 35 4 4" xfId="8335" xr:uid="{CECB4F74-9E51-4D07-97AB-DA90ADE5688D}"/>
    <cellStyle name="Currency 35 5" xfId="1975" xr:uid="{00000000-0005-0000-0000-0000A9010000}"/>
    <cellStyle name="Currency 35 5 2" xfId="4080" xr:uid="{46462866-DC15-4BED-BD68-7A6F484FB110}"/>
    <cellStyle name="Currency 35 5 3" xfId="5379" xr:uid="{9E0BD4CD-701D-4073-A7EB-C8A8619C6B0A}"/>
    <cellStyle name="Currency 35 5 4" xfId="8571" xr:uid="{2FF1CBEA-576C-4141-B6A5-A7E26E4B9741}"/>
    <cellStyle name="Currency 35 6" xfId="2230" xr:uid="{84BD1511-554D-4F6B-B222-A353795F9002}"/>
    <cellStyle name="Currency 35 6 2" xfId="5615" xr:uid="{A1B85FEB-4F59-489D-8EE0-EF8ED000E920}"/>
    <cellStyle name="Currency 35 6 3" xfId="8807" xr:uid="{347B2E98-B21C-4622-BC2F-7F5E97148615}"/>
    <cellStyle name="Currency 35 7" xfId="2466" xr:uid="{F2299E7B-B316-4BD6-852E-8AC34AB3C2C9}"/>
    <cellStyle name="Currency 35 7 2" xfId="5845" xr:uid="{1395F0D5-EADA-422E-818D-C86FC4CBC89D}"/>
    <cellStyle name="Currency 35 7 3" xfId="9037" xr:uid="{AED13814-6DD9-4401-8412-48D376CE6F5F}"/>
    <cellStyle name="Currency 35 8" xfId="2708" xr:uid="{E1D959FD-8BAE-4879-91A8-0F8BA9E52868}"/>
    <cellStyle name="Currency 35 8 2" xfId="6076" xr:uid="{2ABB1A98-738E-442A-B1CC-E59746C08DDE}"/>
    <cellStyle name="Currency 35 8 3" xfId="9267" xr:uid="{BCB7556C-D741-4EE2-BCF3-65E2EE916404}"/>
    <cellStyle name="Currency 35 9" xfId="2941" xr:uid="{CF17D421-FCA0-47C2-8A05-59B99EDCD0FA}"/>
    <cellStyle name="Currency 35 9 2" xfId="6309" xr:uid="{05879DA2-2A03-4776-B150-D828D20A501C}"/>
    <cellStyle name="Currency 35 9 3" xfId="9497" xr:uid="{BE2BADDB-98B3-4BF0-B4D4-520C926F2429}"/>
    <cellStyle name="Currency 36" xfId="279" xr:uid="{00000000-0005-0000-0000-0000AA010000}"/>
    <cellStyle name="Currency 36 10" xfId="3155" xr:uid="{FE5C66C8-7E0B-4779-8E9C-07B74EA631F4}"/>
    <cellStyle name="Currency 36 10 2" xfId="6556" xr:uid="{DE948D51-67BD-40A2-9C31-913433B66389}"/>
    <cellStyle name="Currency 36 10 3" xfId="9739" xr:uid="{F8B67B5B-39B3-4A07-9597-785C2059F29E}"/>
    <cellStyle name="Currency 36 11" xfId="6817" xr:uid="{1B1101BE-7D97-45BD-BA43-9FFD4281A921}"/>
    <cellStyle name="Currency 36 11 2" xfId="9981" xr:uid="{A5F47A64-FB50-4C8D-9D5B-6D211063FCB6}"/>
    <cellStyle name="Currency 36 12" xfId="7112" xr:uid="{A9E2A542-3874-4BA5-AB8E-79E5E3F8BE28}"/>
    <cellStyle name="Currency 36 12 2" xfId="10254" xr:uid="{15CC6C52-6A46-4129-8090-996BB80DBA12}"/>
    <cellStyle name="Currency 36 13" xfId="7355" xr:uid="{FA97909A-881C-448F-A5D9-119D39F8642C}"/>
    <cellStyle name="Currency 36 13 2" xfId="10493" xr:uid="{86119115-E8C4-4BE5-A599-13A2256C77E0}"/>
    <cellStyle name="Currency 36 14" xfId="7423" xr:uid="{10202D79-624B-49E3-9B99-253F1936807F}"/>
    <cellStyle name="Currency 36 14 2" xfId="10558" xr:uid="{1711D6E3-B18C-4A68-980B-E105604B5E0B}"/>
    <cellStyle name="Currency 36 15" xfId="4386" xr:uid="{2E1EA24B-800A-40B2-895C-8DB93C200128}"/>
    <cellStyle name="Currency 36 16" xfId="4451" xr:uid="{DA52D1CF-3270-4C9F-B1EB-91C6B4F029E7}"/>
    <cellStyle name="Currency 36 17" xfId="10960" xr:uid="{A01E584B-F71A-4FDF-B7CB-E6675829F4D7}"/>
    <cellStyle name="Currency 36 18" xfId="11291" xr:uid="{8E8B9B0B-BE61-4667-92C5-CD1552F25526}"/>
    <cellStyle name="Currency 36 19" xfId="11363" xr:uid="{E32120F5-B569-401D-9AAF-5EF4D7A709D3}"/>
    <cellStyle name="Currency 36 2" xfId="1284" xr:uid="{00000000-0005-0000-0000-0000AB010000}"/>
    <cellStyle name="Currency 36 2 2" xfId="3395" xr:uid="{397F9862-0C58-4463-8466-295E0FECB499}"/>
    <cellStyle name="Currency 36 2 3" xfId="4701" xr:uid="{F9F96406-AA06-4282-AFD2-88475058D80F}"/>
    <cellStyle name="Currency 36 2 4" xfId="7914" xr:uid="{8F90B08D-63A7-416D-BF14-51F2B217F267}"/>
    <cellStyle name="Currency 36 20" xfId="11232" xr:uid="{8125CF2B-241E-43FF-9051-9166FB1F2B7B}"/>
    <cellStyle name="Currency 36 21" xfId="11851" xr:uid="{A5A654EC-4F2D-4A9A-98CF-EBB495EBC860}"/>
    <cellStyle name="Currency 36 22" xfId="12052" xr:uid="{0D4056C0-5AE9-4272-BBC9-26CA8920B44E}"/>
    <cellStyle name="Currency 36 23" xfId="12403" xr:uid="{C320AA26-16E6-492B-B0F7-D0F6E8262CAA}"/>
    <cellStyle name="Currency 36 24" xfId="12492" xr:uid="{58A46638-A142-466C-A982-4AE59E543E93}"/>
    <cellStyle name="Currency 36 25" xfId="12350" xr:uid="{C337F038-B30A-4F0D-A3A2-B3C417232927}"/>
    <cellStyle name="Currency 36 26" xfId="13097" xr:uid="{EA23D92F-C1DE-4B55-A1F6-A103FC476A83}"/>
    <cellStyle name="Currency 36 27" xfId="13168" xr:uid="{C40ED71C-5727-40CC-94AF-2146C5880053}"/>
    <cellStyle name="Currency 36 3" xfId="1470" xr:uid="{00000000-0005-0000-0000-0000AC010000}"/>
    <cellStyle name="Currency 36 3 2" xfId="3580" xr:uid="{023CE17B-8EC0-4D8E-B7E2-CACEA11E6598}"/>
    <cellStyle name="Currency 36 3 3" xfId="4886" xr:uid="{21ED3979-5C6A-4BEA-B63D-D92DFB2FE4EB}"/>
    <cellStyle name="Currency 36 3 4" xfId="8096" xr:uid="{F69FD13E-753C-448B-A8AF-22803F34D65B}"/>
    <cellStyle name="Currency 36 4" xfId="1716" xr:uid="{00000000-0005-0000-0000-0000AD010000}"/>
    <cellStyle name="Currency 36 4 2" xfId="3817" xr:uid="{D8715791-77B8-449A-A191-5C003635B6FE}"/>
    <cellStyle name="Currency 36 4 3" xfId="5137" xr:uid="{9F5526CF-3DA0-4C53-BACA-D09833AA0727}"/>
    <cellStyle name="Currency 36 4 4" xfId="8336" xr:uid="{E7A9F3CF-0F0E-4357-BA55-6159927F3ED3}"/>
    <cellStyle name="Currency 36 5" xfId="1976" xr:uid="{00000000-0005-0000-0000-0000AE010000}"/>
    <cellStyle name="Currency 36 5 2" xfId="4081" xr:uid="{D007CFE0-E121-416B-A3F3-2FBF692DBE60}"/>
    <cellStyle name="Currency 36 5 3" xfId="5380" xr:uid="{B0864606-789C-437A-A1B1-E24C74144DF7}"/>
    <cellStyle name="Currency 36 5 4" xfId="8572" xr:uid="{17404AD1-9D9C-49D3-AD7E-B67958C9D15B}"/>
    <cellStyle name="Currency 36 6" xfId="2231" xr:uid="{0DAB6F77-439B-4AA0-8CDC-A0B8FF261947}"/>
    <cellStyle name="Currency 36 6 2" xfId="5616" xr:uid="{5559E89E-0AF0-4394-9235-B2AB6DE6745C}"/>
    <cellStyle name="Currency 36 6 3" xfId="8808" xr:uid="{D2591854-E84D-444F-9D06-58CDE92709EE}"/>
    <cellStyle name="Currency 36 7" xfId="2467" xr:uid="{DD6FF9E1-7108-4FB2-84CD-85ED3B5C3CB4}"/>
    <cellStyle name="Currency 36 7 2" xfId="5846" xr:uid="{C007CC2C-CEC7-412E-AB98-9486F9DA029B}"/>
    <cellStyle name="Currency 36 7 3" xfId="9038" xr:uid="{244D4D3C-3E90-4D41-975A-38ADAFACA1C5}"/>
    <cellStyle name="Currency 36 8" xfId="2709" xr:uid="{F1E5582E-052D-4E78-A3D5-31F5E8CCC4AD}"/>
    <cellStyle name="Currency 36 8 2" xfId="6077" xr:uid="{29D3542F-4B12-4942-B7F5-BE21E90EC7DD}"/>
    <cellStyle name="Currency 36 8 3" xfId="9268" xr:uid="{C624493D-5843-4015-A95B-38DA6673F36A}"/>
    <cellStyle name="Currency 36 9" xfId="2942" xr:uid="{83F32A62-9982-4994-8F7A-BB6A5215D626}"/>
    <cellStyle name="Currency 36 9 2" xfId="6310" xr:uid="{A7F510FD-A504-4D1E-AA41-D63A5CE51C24}"/>
    <cellStyle name="Currency 36 9 3" xfId="9498" xr:uid="{CE1C08B7-9631-4E25-83F7-AA38E07202DB}"/>
    <cellStyle name="Currency 37" xfId="280" xr:uid="{00000000-0005-0000-0000-0000AF010000}"/>
    <cellStyle name="Currency 37 10" xfId="3156" xr:uid="{4EEA1EF0-0BED-4BA5-8DDE-874961B02173}"/>
    <cellStyle name="Currency 37 10 2" xfId="6557" xr:uid="{831E54D6-95AC-4B30-9F69-F070230F9179}"/>
    <cellStyle name="Currency 37 10 3" xfId="9740" xr:uid="{79F621F0-E404-48B0-B615-BBB2AE21ED1F}"/>
    <cellStyle name="Currency 37 11" xfId="6818" xr:uid="{680D720C-FCB8-4436-91FB-4755A61D5EAE}"/>
    <cellStyle name="Currency 37 11 2" xfId="9982" xr:uid="{904DBE08-1DDD-4A18-87D7-F7251D3BFA51}"/>
    <cellStyle name="Currency 37 12" xfId="7113" xr:uid="{0FF0BA9A-6BE8-4523-943F-595124AC3BDF}"/>
    <cellStyle name="Currency 37 12 2" xfId="10255" xr:uid="{8AC050B1-2DEA-4787-AB33-BB93CEC88A35}"/>
    <cellStyle name="Currency 37 13" xfId="7356" xr:uid="{CF60F0D6-FCDF-45D1-8771-F7A93C03806E}"/>
    <cellStyle name="Currency 37 13 2" xfId="10494" xr:uid="{DBDBCF5F-828F-48D5-8E89-04E127C6FEFC}"/>
    <cellStyle name="Currency 37 14" xfId="7422" xr:uid="{DD7270D4-1E37-44C9-9667-26C2F170C5C2}"/>
    <cellStyle name="Currency 37 14 2" xfId="10557" xr:uid="{55DE68F5-75B9-4F7C-BFD6-1ED79105BF41}"/>
    <cellStyle name="Currency 37 15" xfId="4387" xr:uid="{D57C75E4-C553-4C1C-88A5-D63CB105D713}"/>
    <cellStyle name="Currency 37 16" xfId="4450" xr:uid="{7A538457-9DDE-4683-A46B-AF3591A6582B}"/>
    <cellStyle name="Currency 37 17" xfId="10961" xr:uid="{C18C374C-4E23-48BD-A91A-70034CA39756}"/>
    <cellStyle name="Currency 37 18" xfId="11292" xr:uid="{17A01760-31DC-4BEF-9AD5-F3089C5ECCCF}"/>
    <cellStyle name="Currency 37 19" xfId="11362" xr:uid="{2D572101-4957-45A2-A4A3-6251F53D07C6}"/>
    <cellStyle name="Currency 37 2" xfId="1285" xr:uid="{00000000-0005-0000-0000-0000B0010000}"/>
    <cellStyle name="Currency 37 2 2" xfId="3396" xr:uid="{8066FE66-8E0F-42FF-80D2-0C9FE5DAF00E}"/>
    <cellStyle name="Currency 37 2 3" xfId="4702" xr:uid="{CDDA9977-87A7-4CEA-9352-12D4308F22D5}"/>
    <cellStyle name="Currency 37 2 4" xfId="7915" xr:uid="{28B6398D-DCD8-409E-92C4-E7FE4950AB47}"/>
    <cellStyle name="Currency 37 20" xfId="11233" xr:uid="{5F9D4682-740E-4698-AC6C-5FDE9F6A2B89}"/>
    <cellStyle name="Currency 37 21" xfId="11852" xr:uid="{6888EE09-0766-4BFD-BED5-FB441EFA9396}"/>
    <cellStyle name="Currency 37 22" xfId="12053" xr:uid="{224651E2-A7EE-4517-B09F-25564AFE0A66}"/>
    <cellStyle name="Currency 37 23" xfId="12404" xr:uid="{C9B47B03-38C4-4898-AC8F-A2BB9B04F81E}"/>
    <cellStyle name="Currency 37 24" xfId="12491" xr:uid="{B9978CB7-16BB-43C2-8966-6F64BDFCEF5F}"/>
    <cellStyle name="Currency 37 25" xfId="12351" xr:uid="{11C796D8-0090-4EC2-A5DE-A37015706D99}"/>
    <cellStyle name="Currency 37 26" xfId="13098" xr:uid="{2C577DE5-8ED9-4B5E-A23B-FAAE275D6AFA}"/>
    <cellStyle name="Currency 37 27" xfId="13167" xr:uid="{14C9B2D5-A919-40DF-AF2D-03EE9697C180}"/>
    <cellStyle name="Currency 37 3" xfId="1471" xr:uid="{00000000-0005-0000-0000-0000B1010000}"/>
    <cellStyle name="Currency 37 3 2" xfId="3581" xr:uid="{0CF352A4-EAFD-4C52-A77D-BE49F31E8571}"/>
    <cellStyle name="Currency 37 3 3" xfId="4887" xr:uid="{74AD5B96-99B6-4125-AA14-66AB9D65418F}"/>
    <cellStyle name="Currency 37 3 4" xfId="8097" xr:uid="{2410B802-F220-4389-A20C-B26D61DACE43}"/>
    <cellStyle name="Currency 37 4" xfId="1717" xr:uid="{00000000-0005-0000-0000-0000B2010000}"/>
    <cellStyle name="Currency 37 4 2" xfId="3818" xr:uid="{ACF9662C-8035-4DD9-9260-100ACD5BC126}"/>
    <cellStyle name="Currency 37 4 3" xfId="5138" xr:uid="{17CE0623-34DA-4F86-B100-D7200AE7E297}"/>
    <cellStyle name="Currency 37 4 4" xfId="8337" xr:uid="{00F24577-7DB6-4BD1-B4A8-19367DBFE255}"/>
    <cellStyle name="Currency 37 5" xfId="1977" xr:uid="{00000000-0005-0000-0000-0000B3010000}"/>
    <cellStyle name="Currency 37 5 2" xfId="4082" xr:uid="{55D9D7E0-C0AF-40CD-A6AE-3D3480BB9D6B}"/>
    <cellStyle name="Currency 37 5 3" xfId="5381" xr:uid="{623FD65C-9B8A-4668-936F-CA0EE56BEFE1}"/>
    <cellStyle name="Currency 37 5 4" xfId="8573" xr:uid="{06AA5409-58ED-4E36-9AFA-0448EEF20DF0}"/>
    <cellStyle name="Currency 37 6" xfId="2232" xr:uid="{429064FC-66BA-47DB-B8A6-C7E712405B5B}"/>
    <cellStyle name="Currency 37 6 2" xfId="5617" xr:uid="{3758B249-43E1-4611-A3F4-C4CD9A15E5A3}"/>
    <cellStyle name="Currency 37 6 3" xfId="8809" xr:uid="{CB3ED020-3E1C-4BB1-90A0-B07B2A47DF3B}"/>
    <cellStyle name="Currency 37 7" xfId="2468" xr:uid="{B94007A7-4FF7-4FCE-8F2E-58BA05672188}"/>
    <cellStyle name="Currency 37 7 2" xfId="5847" xr:uid="{E59A78A3-5894-42A5-A899-1B2DD0AB92F4}"/>
    <cellStyle name="Currency 37 7 3" xfId="9039" xr:uid="{F11C60D8-D915-4FCF-8745-B6BEBEBB2DC0}"/>
    <cellStyle name="Currency 37 8" xfId="2710" xr:uid="{472D1226-2598-41E2-823A-03EE98614F72}"/>
    <cellStyle name="Currency 37 8 2" xfId="6078" xr:uid="{36D4AA61-33B6-4170-B925-ACB69D91B320}"/>
    <cellStyle name="Currency 37 8 3" xfId="9269" xr:uid="{4046410B-CDAE-4932-9362-370ED0978D3B}"/>
    <cellStyle name="Currency 37 9" xfId="2943" xr:uid="{4ABCF93F-B422-4886-B938-E0C049E71298}"/>
    <cellStyle name="Currency 37 9 2" xfId="6311" xr:uid="{3E30D99F-7C3A-4DD2-90AB-328C34DD16DB}"/>
    <cellStyle name="Currency 37 9 3" xfId="9499" xr:uid="{6287FE72-1AC2-4A00-A7A7-C1DFE6B6A8A1}"/>
    <cellStyle name="Currency 38" xfId="281" xr:uid="{00000000-0005-0000-0000-0000B4010000}"/>
    <cellStyle name="Currency 38 10" xfId="3157" xr:uid="{E876F1D3-026C-4D77-93B9-853F42B4465C}"/>
    <cellStyle name="Currency 38 10 2" xfId="6558" xr:uid="{79F2B2B5-641A-4B0B-9E18-2D9D0515B01B}"/>
    <cellStyle name="Currency 38 10 3" xfId="9741" xr:uid="{9650B357-9C8D-4B8E-AB76-5AEC757A07B2}"/>
    <cellStyle name="Currency 38 11" xfId="6819" xr:uid="{9E809C6A-3D9A-4611-AA5A-E3856928DE8E}"/>
    <cellStyle name="Currency 38 11 2" xfId="9983" xr:uid="{370F09B3-C53E-4A70-A3EF-9BA3DDA64D0B}"/>
    <cellStyle name="Currency 38 12" xfId="7114" xr:uid="{6B0C83FA-2B3F-4FCD-8F35-528DAC221C34}"/>
    <cellStyle name="Currency 38 12 2" xfId="10256" xr:uid="{F97CDCD6-19D9-4FB3-9B38-E26D24051D26}"/>
    <cellStyle name="Currency 38 13" xfId="7357" xr:uid="{2245A040-92B2-447B-941B-C81A833EF237}"/>
    <cellStyle name="Currency 38 13 2" xfId="10495" xr:uid="{D0A67DF5-6F3C-4A42-A231-0D7068884973}"/>
    <cellStyle name="Currency 38 14" xfId="7421" xr:uid="{31A09313-4C51-4CCF-9853-41283419F6E5}"/>
    <cellStyle name="Currency 38 14 2" xfId="10556" xr:uid="{FA01A003-8912-41EE-8EB6-F903627FB84F}"/>
    <cellStyle name="Currency 38 15" xfId="4388" xr:uid="{542B24BD-FB02-43CF-AE8C-B00D2A917CD0}"/>
    <cellStyle name="Currency 38 16" xfId="4449" xr:uid="{567E37D9-68FD-4B1C-8FCF-C55BBEBFEF3B}"/>
    <cellStyle name="Currency 38 17" xfId="10962" xr:uid="{EF55EA01-9AB1-4065-A813-701313DBC23B}"/>
    <cellStyle name="Currency 38 18" xfId="11293" xr:uid="{FA8A9599-06FE-4CB9-BCBA-7094C229E905}"/>
    <cellStyle name="Currency 38 19" xfId="11361" xr:uid="{516A9E98-8803-46B3-B57D-74C8E380EE67}"/>
    <cellStyle name="Currency 38 2" xfId="1286" xr:uid="{00000000-0005-0000-0000-0000B5010000}"/>
    <cellStyle name="Currency 38 2 2" xfId="3397" xr:uid="{4A1FB2FB-ED6E-4A43-9E8D-67AF2C11CDF4}"/>
    <cellStyle name="Currency 38 2 3" xfId="4703" xr:uid="{36122EC7-1422-423A-B216-5083013904FA}"/>
    <cellStyle name="Currency 38 2 4" xfId="7916" xr:uid="{5E10482C-585F-41CE-B75C-9B458B5A64DE}"/>
    <cellStyle name="Currency 38 20" xfId="11234" xr:uid="{89C497FE-21A0-4111-ADB0-85E6747F7FDF}"/>
    <cellStyle name="Currency 38 21" xfId="11853" xr:uid="{D7F0324A-FBC8-45FD-8E21-28163307698B}"/>
    <cellStyle name="Currency 38 22" xfId="12054" xr:uid="{3F2480FD-A640-4688-8C36-1DCFC09E84F0}"/>
    <cellStyle name="Currency 38 23" xfId="12405" xr:uid="{C3363B0A-3FE2-41A9-BBED-E899D1393C92}"/>
    <cellStyle name="Currency 38 24" xfId="12490" xr:uid="{9DD0EDF7-CCF4-4C42-B72D-E1A97FCCFA1C}"/>
    <cellStyle name="Currency 38 25" xfId="12352" xr:uid="{91BE0F2D-698D-463F-9B3D-056BC29A325E}"/>
    <cellStyle name="Currency 38 26" xfId="13099" xr:uid="{DA029FE5-6FF6-4B30-9819-EBC532AF648A}"/>
    <cellStyle name="Currency 38 27" xfId="13166" xr:uid="{9F8826D2-EB3F-4A6D-BF33-6C68FD3098CD}"/>
    <cellStyle name="Currency 38 3" xfId="1472" xr:uid="{00000000-0005-0000-0000-0000B6010000}"/>
    <cellStyle name="Currency 38 3 2" xfId="3582" xr:uid="{9E977CB5-7DFA-4E95-AC10-92472AF3FDC4}"/>
    <cellStyle name="Currency 38 3 3" xfId="4888" xr:uid="{82073144-1DEE-4C25-9B9C-6B4C2BF4ACF7}"/>
    <cellStyle name="Currency 38 3 4" xfId="8098" xr:uid="{917BAC69-6440-4833-8E62-88080B4C2CB1}"/>
    <cellStyle name="Currency 38 4" xfId="1718" xr:uid="{00000000-0005-0000-0000-0000B7010000}"/>
    <cellStyle name="Currency 38 4 2" xfId="3819" xr:uid="{9F050482-4C90-47A5-8062-90D5CF56A683}"/>
    <cellStyle name="Currency 38 4 3" xfId="5139" xr:uid="{D1DF8E55-0A2F-4A1F-8174-B11E5FEF9300}"/>
    <cellStyle name="Currency 38 4 4" xfId="8338" xr:uid="{FE0634FE-5D26-4ACD-A192-77D852970E20}"/>
    <cellStyle name="Currency 38 5" xfId="1978" xr:uid="{00000000-0005-0000-0000-0000B8010000}"/>
    <cellStyle name="Currency 38 5 2" xfId="4083" xr:uid="{FB903C38-0AFC-41D5-82E4-9656F4EBDB88}"/>
    <cellStyle name="Currency 38 5 3" xfId="5382" xr:uid="{460C02C0-4AC3-4895-9514-2D6B2CE95927}"/>
    <cellStyle name="Currency 38 5 4" xfId="8574" xr:uid="{321E694E-582B-4864-BD9B-5AE67EAE85BD}"/>
    <cellStyle name="Currency 38 6" xfId="2233" xr:uid="{10A99093-EA14-4124-8ED2-7AABB3F28ADA}"/>
    <cellStyle name="Currency 38 6 2" xfId="5618" xr:uid="{0EF2389F-A4F2-4768-AC5E-D420B43F490F}"/>
    <cellStyle name="Currency 38 6 3" xfId="8810" xr:uid="{E9835E72-507B-43AF-981F-3EE9CD761297}"/>
    <cellStyle name="Currency 38 7" xfId="2469" xr:uid="{31948628-11FA-4F95-AAE1-2A540D61BBDF}"/>
    <cellStyle name="Currency 38 7 2" xfId="5848" xr:uid="{B2E5D971-C77E-41A6-AADE-9B862FEC69A7}"/>
    <cellStyle name="Currency 38 7 3" xfId="9040" xr:uid="{76AFA85A-3C90-4473-8AE0-030B306A7E6C}"/>
    <cellStyle name="Currency 38 8" xfId="2711" xr:uid="{AC727EA2-6B6E-4A9D-B899-2CA8AB4FD84C}"/>
    <cellStyle name="Currency 38 8 2" xfId="6079" xr:uid="{5D267DAC-92A8-4DED-A138-880691AC4727}"/>
    <cellStyle name="Currency 38 8 3" xfId="9270" xr:uid="{F2D15778-A74E-4F8A-AE1C-C1287800BDAA}"/>
    <cellStyle name="Currency 38 9" xfId="2944" xr:uid="{65BDC13C-172C-4559-9B60-F79485FD6C12}"/>
    <cellStyle name="Currency 38 9 2" xfId="6312" xr:uid="{C99F0A89-F3D3-4876-AA56-CB16B5AA1570}"/>
    <cellStyle name="Currency 38 9 3" xfId="9500" xr:uid="{75C2BD61-A472-4ED0-9773-F9E7DD1ADEC7}"/>
    <cellStyle name="Currency 39" xfId="282" xr:uid="{00000000-0005-0000-0000-0000B9010000}"/>
    <cellStyle name="Currency 39 10" xfId="3158" xr:uid="{ACA750E8-32F3-470F-9EFB-5E67966A293A}"/>
    <cellStyle name="Currency 39 10 2" xfId="6559" xr:uid="{EB839AD2-AB62-4660-9EDE-A68414BECBA5}"/>
    <cellStyle name="Currency 39 10 3" xfId="9742" xr:uid="{F7AB96A6-F21B-4E4D-BB5F-FA2CEFE61536}"/>
    <cellStyle name="Currency 39 11" xfId="6820" xr:uid="{F7F90A9E-2A3F-4F92-9D5E-EDD0BC5EF309}"/>
    <cellStyle name="Currency 39 11 2" xfId="9984" xr:uid="{F2CC6CA4-0593-4880-8884-F613E2AA9CA0}"/>
    <cellStyle name="Currency 39 12" xfId="7115" xr:uid="{29CBE357-64FE-408D-9009-3D5AE6F776C1}"/>
    <cellStyle name="Currency 39 12 2" xfId="10257" xr:uid="{60F9971D-9F5B-423E-AF84-568A6BA417A6}"/>
    <cellStyle name="Currency 39 13" xfId="7358" xr:uid="{B430934D-EB75-4CDC-9573-C98B60E42D3A}"/>
    <cellStyle name="Currency 39 13 2" xfId="10496" xr:uid="{E0BC0D50-9121-4F57-9116-221793508952}"/>
    <cellStyle name="Currency 39 14" xfId="7420" xr:uid="{B9A4627D-F44F-48E0-8E6B-5D6EAEBA8BB6}"/>
    <cellStyle name="Currency 39 14 2" xfId="10555" xr:uid="{49C58665-4F8A-43BB-B4CB-F22DBF7B8BD5}"/>
    <cellStyle name="Currency 39 15" xfId="4389" xr:uid="{F99F9264-280E-4F8C-AA3F-CA8E420FD719}"/>
    <cellStyle name="Currency 39 16" xfId="4448" xr:uid="{650DE1EF-9A9E-4008-ADA8-C97CB19D891A}"/>
    <cellStyle name="Currency 39 17" xfId="10963" xr:uid="{327BB826-B0CF-4C33-9780-0E91226213AD}"/>
    <cellStyle name="Currency 39 18" xfId="11294" xr:uid="{D9B8F20E-EEA0-4A01-B46F-6FCB7D94602C}"/>
    <cellStyle name="Currency 39 19" xfId="11360" xr:uid="{1E3BD2F2-209E-4ACF-8060-D789AAC1876F}"/>
    <cellStyle name="Currency 39 2" xfId="1287" xr:uid="{00000000-0005-0000-0000-0000BA010000}"/>
    <cellStyle name="Currency 39 2 2" xfId="3398" xr:uid="{E72AD5D6-97DF-4776-B39B-EB3D1E655EB3}"/>
    <cellStyle name="Currency 39 2 3" xfId="4704" xr:uid="{779009C0-ED3F-46D8-A549-B91320225B71}"/>
    <cellStyle name="Currency 39 2 4" xfId="7917" xr:uid="{C4728B7A-4085-4240-B0D4-9A7C577EB5E6}"/>
    <cellStyle name="Currency 39 20" xfId="11235" xr:uid="{F84EF631-D272-4146-B798-E852214F8584}"/>
    <cellStyle name="Currency 39 21" xfId="11854" xr:uid="{6586A3BA-B167-433A-807B-5FB105550D2A}"/>
    <cellStyle name="Currency 39 22" xfId="12055" xr:uid="{72600BFA-2DBA-4B65-8F5B-AEB82FC11CC7}"/>
    <cellStyle name="Currency 39 23" xfId="12406" xr:uid="{893E2F31-4ACB-4F29-B354-CAF3E79181F9}"/>
    <cellStyle name="Currency 39 24" xfId="12489" xr:uid="{CAEF291C-71A5-48AC-B1CC-117549197B1F}"/>
    <cellStyle name="Currency 39 25" xfId="12353" xr:uid="{3A94E4AC-DCD9-43AF-98D5-B90F39FD9B35}"/>
    <cellStyle name="Currency 39 26" xfId="13100" xr:uid="{306AB823-B839-4563-9FDD-BFDB3E1C1674}"/>
    <cellStyle name="Currency 39 27" xfId="13165" xr:uid="{1FAC9615-29FC-416D-A656-8282C4C2985C}"/>
    <cellStyle name="Currency 39 3" xfId="1473" xr:uid="{00000000-0005-0000-0000-0000BB010000}"/>
    <cellStyle name="Currency 39 3 2" xfId="3583" xr:uid="{7799CBCE-08C3-48E2-B6BD-505A5E64510F}"/>
    <cellStyle name="Currency 39 3 3" xfId="4889" xr:uid="{EEBC528D-1B6F-4D89-ADC1-2C716483F765}"/>
    <cellStyle name="Currency 39 3 4" xfId="8099" xr:uid="{7CD597C9-3EC5-41CC-A6F0-5183E71CBFC2}"/>
    <cellStyle name="Currency 39 4" xfId="1719" xr:uid="{00000000-0005-0000-0000-0000BC010000}"/>
    <cellStyle name="Currency 39 4 2" xfId="3820" xr:uid="{A5327DB8-9EBA-4020-BEE9-F3412898DF05}"/>
    <cellStyle name="Currency 39 4 3" xfId="5140" xr:uid="{CF479A38-2AA3-4DCB-B7CB-6626CA519B44}"/>
    <cellStyle name="Currency 39 4 4" xfId="8339" xr:uid="{9A0AB3D0-0E16-4794-B09C-15EF58230F61}"/>
    <cellStyle name="Currency 39 5" xfId="1979" xr:uid="{00000000-0005-0000-0000-0000BD010000}"/>
    <cellStyle name="Currency 39 5 2" xfId="4084" xr:uid="{7511C769-D0F4-4D5D-9CC3-B8F46799E581}"/>
    <cellStyle name="Currency 39 5 3" xfId="5383" xr:uid="{C05E6E18-6488-4AF9-8380-BE41759DBA53}"/>
    <cellStyle name="Currency 39 5 4" xfId="8575" xr:uid="{0B51F84B-47E5-43D6-A378-C84BA0B47A3A}"/>
    <cellStyle name="Currency 39 6" xfId="2234" xr:uid="{1AD4DFE2-FA43-4573-B6C2-4066F6C67E3F}"/>
    <cellStyle name="Currency 39 6 2" xfId="5619" xr:uid="{A78498B2-2C6E-4F07-88BB-D2208242BC7D}"/>
    <cellStyle name="Currency 39 6 3" xfId="8811" xr:uid="{C5E2EB3A-13E6-41BC-A0E6-49B08DFABE2A}"/>
    <cellStyle name="Currency 39 7" xfId="2470" xr:uid="{1D870258-ABB5-4E17-86BD-06A72C2AB06C}"/>
    <cellStyle name="Currency 39 7 2" xfId="5849" xr:uid="{64368A6C-E377-447F-A4E1-72EFA8989C24}"/>
    <cellStyle name="Currency 39 7 3" xfId="9041" xr:uid="{A868F099-4693-4AAB-8869-70C41A09669F}"/>
    <cellStyle name="Currency 39 8" xfId="2712" xr:uid="{AB7243E1-B8CC-41B2-A562-159BB78C69BB}"/>
    <cellStyle name="Currency 39 8 2" xfId="6080" xr:uid="{F2671B35-2035-4BF7-A51B-BA65348837F9}"/>
    <cellStyle name="Currency 39 8 3" xfId="9271" xr:uid="{85382F4A-7864-4793-A87C-25C03902BE0C}"/>
    <cellStyle name="Currency 39 9" xfId="2945" xr:uid="{6683A532-7164-46FD-ADDF-63AEE04C4F33}"/>
    <cellStyle name="Currency 39 9 2" xfId="6313" xr:uid="{3366C303-FE4A-4A0F-BC84-6C7CE524AB86}"/>
    <cellStyle name="Currency 39 9 3" xfId="9501" xr:uid="{1EFC9A4B-DB10-4D24-8B0F-B0CE476D0448}"/>
    <cellStyle name="Currency 4" xfId="283" xr:uid="{00000000-0005-0000-0000-0000BE010000}"/>
    <cellStyle name="Currency 4 10" xfId="2946" xr:uid="{9E7673C5-E64D-4A4E-8461-3EDF401304E3}"/>
    <cellStyle name="Currency 4 10 2" xfId="6314" xr:uid="{E0730297-D740-4C5B-86A9-5B289E9A12D0}"/>
    <cellStyle name="Currency 4 10 3" xfId="9502" xr:uid="{6A02CB2C-16DF-47AD-9F39-78E06C8F71BC}"/>
    <cellStyle name="Currency 4 11" xfId="3159" xr:uid="{06AC32D7-73F2-41B3-BD31-0B55BF59402D}"/>
    <cellStyle name="Currency 4 11 2" xfId="6560" xr:uid="{98DC513F-FA28-4219-AAEC-135E699B01D1}"/>
    <cellStyle name="Currency 4 11 3" xfId="9743" xr:uid="{C3EE7EE6-4CE2-4AF6-8BED-181184DDAB5A}"/>
    <cellStyle name="Currency 4 12" xfId="6821" xr:uid="{D870E151-2948-49E1-AB19-11DCAB40BF6E}"/>
    <cellStyle name="Currency 4 12 2" xfId="9985" xr:uid="{4241DA3F-F012-44EA-B1A7-815DC2F36E9B}"/>
    <cellStyle name="Currency 4 13" xfId="7116" xr:uid="{9D1E29A9-2D15-4368-9449-E3E6FF03AF92}"/>
    <cellStyle name="Currency 4 13 2" xfId="10258" xr:uid="{9291C5AD-0B7E-41D4-A595-90B84CFB9BDD}"/>
    <cellStyle name="Currency 4 14" xfId="7359" xr:uid="{3DB63C76-3CEA-4F45-AE9B-8AE5812EBD6D}"/>
    <cellStyle name="Currency 4 14 2" xfId="10497" xr:uid="{526D1CBF-319B-43FF-A244-05665C74BAAD}"/>
    <cellStyle name="Currency 4 15" xfId="7419" xr:uid="{0A4E1006-CCD1-4C29-8543-FED1BAEBF7A0}"/>
    <cellStyle name="Currency 4 15 2" xfId="10554" xr:uid="{48AAE499-2AD7-4430-BFF7-F3FE4B33B166}"/>
    <cellStyle name="Currency 4 16" xfId="4390" xr:uid="{1678972C-C084-4239-B35F-7EA8155A0802}"/>
    <cellStyle name="Currency 4 17" xfId="4447" xr:uid="{E9ED01E0-CADA-48FD-8A1D-461D22031EE9}"/>
    <cellStyle name="Currency 4 18" xfId="10964" xr:uid="{C9CFF62B-F363-4408-AE3C-F0E316FB85D9}"/>
    <cellStyle name="Currency 4 19" xfId="11295" xr:uid="{CBCDDC57-A0C4-4CDF-9515-A3600C85AB9E}"/>
    <cellStyle name="Currency 4 2" xfId="284" xr:uid="{00000000-0005-0000-0000-0000BF010000}"/>
    <cellStyle name="Currency 4 2 10" xfId="3160" xr:uid="{65401201-F1B6-4CC6-990A-E5CBBD683B34}"/>
    <cellStyle name="Currency 4 2 10 2" xfId="6561" xr:uid="{70AEDF71-E466-48C2-9C49-0BE3D408C778}"/>
    <cellStyle name="Currency 4 2 10 3" xfId="9744" xr:uid="{308A0B8D-C783-4E43-B92B-D2278461F0BC}"/>
    <cellStyle name="Currency 4 2 11" xfId="6822" xr:uid="{D3B440AB-80C3-428F-ADFB-28D76E06C216}"/>
    <cellStyle name="Currency 4 2 11 2" xfId="9986" xr:uid="{CE245BFC-5E13-46A3-8819-56E57A3D6C08}"/>
    <cellStyle name="Currency 4 2 12" xfId="7117" xr:uid="{F7002886-D1A7-4BA4-8676-94B28E6C1484}"/>
    <cellStyle name="Currency 4 2 12 2" xfId="10259" xr:uid="{FAF19611-D2B4-43E6-B4AB-A08F27B836CD}"/>
    <cellStyle name="Currency 4 2 13" xfId="7360" xr:uid="{8F0A018E-DE00-4C0D-8AEB-14E8D4E1E38E}"/>
    <cellStyle name="Currency 4 2 13 2" xfId="10498" xr:uid="{F36C94DF-C37B-4FAF-9C3F-643417C3E930}"/>
    <cellStyle name="Currency 4 2 14" xfId="7418" xr:uid="{5172DDA8-0519-480E-8B89-206140697900}"/>
    <cellStyle name="Currency 4 2 14 2" xfId="10553" xr:uid="{BC7891B4-1A0C-4101-8320-0B3DC7D46827}"/>
    <cellStyle name="Currency 4 2 15" xfId="4391" xr:uid="{79A86459-267F-4DBB-8DC5-3E61E9B4D85E}"/>
    <cellStyle name="Currency 4 2 16" xfId="4446" xr:uid="{81049DF6-3B06-4E26-9109-E292CE128862}"/>
    <cellStyle name="Currency 4 2 17" xfId="10965" xr:uid="{D2673D21-D3C3-45E3-AF02-7E85FC1376AC}"/>
    <cellStyle name="Currency 4 2 18" xfId="11296" xr:uid="{8374565F-FC71-41FA-9F98-E29B23BA82D9}"/>
    <cellStyle name="Currency 4 2 19" xfId="11359" xr:uid="{347E2BD6-4A4E-42A6-AF3D-2F24EDCEE00D}"/>
    <cellStyle name="Currency 4 2 2" xfId="1289" xr:uid="{00000000-0005-0000-0000-0000C0010000}"/>
    <cellStyle name="Currency 4 2 2 2" xfId="3400" xr:uid="{0CF528C4-9EC0-469C-9D98-4EE192B21FEB}"/>
    <cellStyle name="Currency 4 2 2 3" xfId="4706" xr:uid="{61062692-557E-4A16-90D7-A429BC9A80F4}"/>
    <cellStyle name="Currency 4 2 2 4" xfId="7919" xr:uid="{C9FCDEDE-CAEC-4EB2-BF31-25870F47C857}"/>
    <cellStyle name="Currency 4 2 20" xfId="11237" xr:uid="{9D1DBC64-A9C7-4871-9A5C-5BAF936B10D7}"/>
    <cellStyle name="Currency 4 2 21" xfId="11856" xr:uid="{9BD62F57-FD62-4498-99A0-7EDBF3566C14}"/>
    <cellStyle name="Currency 4 2 22" xfId="12057" xr:uid="{30F84761-C671-4C6B-8EB4-73C97AA7D533}"/>
    <cellStyle name="Currency 4 2 23" xfId="12408" xr:uid="{3123AA62-6692-42D8-881A-CED96C708741}"/>
    <cellStyle name="Currency 4 2 24" xfId="12487" xr:uid="{A2FA14DA-BBFC-4CB0-BE1D-59C391186D3A}"/>
    <cellStyle name="Currency 4 2 25" xfId="12355" xr:uid="{C2C5CE77-A814-42BC-84BE-B39579BF51CD}"/>
    <cellStyle name="Currency 4 2 26" xfId="13102" xr:uid="{64BE680C-6BB2-44CF-9E5B-57B35D291772}"/>
    <cellStyle name="Currency 4 2 27" xfId="13163" xr:uid="{AB9BBE1D-08AE-472C-A1D5-EBE645A2B9DD}"/>
    <cellStyle name="Currency 4 2 3" xfId="1475" xr:uid="{00000000-0005-0000-0000-0000C1010000}"/>
    <cellStyle name="Currency 4 2 3 2" xfId="3585" xr:uid="{C2A806BE-D79C-42CB-BED6-E4D86D9C5018}"/>
    <cellStyle name="Currency 4 2 3 3" xfId="4891" xr:uid="{E2EF81BF-D47B-45A1-B7FD-AB4452D8E403}"/>
    <cellStyle name="Currency 4 2 3 4" xfId="8101" xr:uid="{45A8FD1B-5FB5-4864-95C1-7F53FB517B6A}"/>
    <cellStyle name="Currency 4 2 4" xfId="1721" xr:uid="{00000000-0005-0000-0000-0000C2010000}"/>
    <cellStyle name="Currency 4 2 4 2" xfId="3822" xr:uid="{51272D15-2544-42D3-A2AA-6E376DC9CB63}"/>
    <cellStyle name="Currency 4 2 4 3" xfId="5142" xr:uid="{F62000BB-A27D-445D-B25C-ADEABA5C447F}"/>
    <cellStyle name="Currency 4 2 4 4" xfId="8341" xr:uid="{316231F4-8AE5-4414-BC50-A3224DDCA1B0}"/>
    <cellStyle name="Currency 4 2 5" xfId="1981" xr:uid="{00000000-0005-0000-0000-0000C3010000}"/>
    <cellStyle name="Currency 4 2 5 2" xfId="4086" xr:uid="{91217A17-93BE-4AF9-BC20-85ECE642CABE}"/>
    <cellStyle name="Currency 4 2 5 3" xfId="5385" xr:uid="{A626D188-9631-4E6F-9C1E-14DB0B9C2FF3}"/>
    <cellStyle name="Currency 4 2 5 4" xfId="8577" xr:uid="{4423B69F-A82E-4AA5-8FA2-67100DF10C31}"/>
    <cellStyle name="Currency 4 2 6" xfId="2236" xr:uid="{77211F05-C36F-4CF0-A8EB-B2A3137C2016}"/>
    <cellStyle name="Currency 4 2 6 2" xfId="5621" xr:uid="{F46569C9-E718-4E15-8C9B-57DFD048A47F}"/>
    <cellStyle name="Currency 4 2 6 3" xfId="8813" xr:uid="{7C3FB520-1EB6-4105-9A5D-FD14777B9F6A}"/>
    <cellStyle name="Currency 4 2 7" xfId="2472" xr:uid="{B35954EF-156F-46A4-AAFB-A94F29D2EE2D}"/>
    <cellStyle name="Currency 4 2 7 2" xfId="5851" xr:uid="{3ABDD867-DEEB-4F2B-A124-E820B3AD001F}"/>
    <cellStyle name="Currency 4 2 7 3" xfId="9043" xr:uid="{1DA2FF51-05F5-4F2D-9A16-6E1143201006}"/>
    <cellStyle name="Currency 4 2 8" xfId="2714" xr:uid="{BEE72FE2-9B64-4BF8-AA75-93F93055018C}"/>
    <cellStyle name="Currency 4 2 8 2" xfId="6082" xr:uid="{C7FE3DD8-B5DF-4086-BC18-CE991FD61FA8}"/>
    <cellStyle name="Currency 4 2 8 3" xfId="9273" xr:uid="{F1C6E5BF-45A0-4840-8A9D-98969B8EF86E}"/>
    <cellStyle name="Currency 4 2 9" xfId="2947" xr:uid="{026B8FD8-C817-4EB8-889D-02FC7FDB8C5F}"/>
    <cellStyle name="Currency 4 2 9 2" xfId="6315" xr:uid="{8882C7AF-126C-470A-886B-66EA7DE364C3}"/>
    <cellStyle name="Currency 4 2 9 3" xfId="9503" xr:uid="{706C9E9E-0F62-47DD-9017-2961742B14D7}"/>
    <cellStyle name="Currency 4 20" xfId="11158" xr:uid="{99A853B1-6B20-424C-B1E5-B8BFF506742A}"/>
    <cellStyle name="Currency 4 21" xfId="11236" xr:uid="{0F66BA3D-B3E8-403E-AA38-8068D68FE737}"/>
    <cellStyle name="Currency 4 22" xfId="11855" xr:uid="{675F0E65-AE4F-4EC8-A738-9B34B591BEC4}"/>
    <cellStyle name="Currency 4 23" xfId="12056" xr:uid="{E3BAE87E-0D01-4372-9C58-94A60CA62C44}"/>
    <cellStyle name="Currency 4 24" xfId="12407" xr:uid="{C96253CA-F8A2-4CC0-8593-A53C582A610A}"/>
    <cellStyle name="Currency 4 25" xfId="12488" xr:uid="{D18DD686-2E42-4B3E-9465-AEF57DACD7E3}"/>
    <cellStyle name="Currency 4 26" xfId="12354" xr:uid="{9F52FB9B-0901-457B-B683-6C3935B264FB}"/>
    <cellStyle name="Currency 4 27" xfId="13101" xr:uid="{2C0428A6-5147-4B59-A337-26126869B513}"/>
    <cellStyle name="Currency 4 28" xfId="13164" xr:uid="{AB18392B-087B-4C2C-A827-A0A7CC0810EA}"/>
    <cellStyle name="Currency 4 3" xfId="1288" xr:uid="{00000000-0005-0000-0000-0000C4010000}"/>
    <cellStyle name="Currency 4 3 2" xfId="3399" xr:uid="{4810B3FC-AF76-4E9B-9C2A-60D68494C738}"/>
    <cellStyle name="Currency 4 3 3" xfId="4705" xr:uid="{99A9C7EC-D0B6-486E-AA02-159D55951D51}"/>
    <cellStyle name="Currency 4 3 4" xfId="7918" xr:uid="{E4E79F95-E533-43ED-BEE9-ACEB1D49ADBD}"/>
    <cellStyle name="Currency 4 4" xfId="1474" xr:uid="{00000000-0005-0000-0000-0000C5010000}"/>
    <cellStyle name="Currency 4 4 2" xfId="3584" xr:uid="{B583417D-189F-4993-A015-6FE234DF9F21}"/>
    <cellStyle name="Currency 4 4 3" xfId="4890" xr:uid="{500E54D2-020D-4D3E-82E4-8E03FF1D1C58}"/>
    <cellStyle name="Currency 4 4 4" xfId="8100" xr:uid="{968AEEE3-B989-46CA-A850-9C70A588BC31}"/>
    <cellStyle name="Currency 4 5" xfId="1720" xr:uid="{00000000-0005-0000-0000-0000C6010000}"/>
    <cellStyle name="Currency 4 5 2" xfId="3821" xr:uid="{FB9EB05A-6510-4BB7-89F0-A6913DC90506}"/>
    <cellStyle name="Currency 4 5 3" xfId="5141" xr:uid="{142BECFD-03EA-4C98-ADFB-C432A4310904}"/>
    <cellStyle name="Currency 4 5 4" xfId="8340" xr:uid="{7138FA97-44AC-4567-9262-79519EB384E6}"/>
    <cellStyle name="Currency 4 6" xfId="1980" xr:uid="{00000000-0005-0000-0000-0000C7010000}"/>
    <cellStyle name="Currency 4 6 2" xfId="4085" xr:uid="{779549E5-FA8D-41BE-84CC-CDEAA8E28B16}"/>
    <cellStyle name="Currency 4 6 3" xfId="5384" xr:uid="{097D1343-1678-4859-8B00-6C3DD48A0485}"/>
    <cellStyle name="Currency 4 6 4" xfId="8576" xr:uid="{9C4F3A50-B0A7-439B-B929-59D6DE6CFC41}"/>
    <cellStyle name="Currency 4 7" xfId="2235" xr:uid="{D8C2BD5E-F4E6-48AF-A5AA-798B4A725C92}"/>
    <cellStyle name="Currency 4 7 2" xfId="5620" xr:uid="{18F6FCDE-6630-4DC6-AB0F-1FA7CF73FA73}"/>
    <cellStyle name="Currency 4 7 3" xfId="8812" xr:uid="{3B936323-62DD-45FD-BCC1-E9E00553C2F8}"/>
    <cellStyle name="Currency 4 8" xfId="2471" xr:uid="{E8DD62BC-A891-4653-9104-22148EA44723}"/>
    <cellStyle name="Currency 4 8 2" xfId="5850" xr:uid="{FC094355-4C92-4836-802E-C8ECEED4CB07}"/>
    <cellStyle name="Currency 4 8 3" xfId="9042" xr:uid="{9B6E815F-A931-4AB1-B541-92D6A10EDEC7}"/>
    <cellStyle name="Currency 4 9" xfId="2713" xr:uid="{693467FE-3C83-4AC8-8E74-7139D46095F7}"/>
    <cellStyle name="Currency 4 9 2" xfId="6081" xr:uid="{2DFD2919-54E9-4C89-BFA9-24F51E4EF670}"/>
    <cellStyle name="Currency 4 9 3" xfId="9272" xr:uid="{0265551B-4A4D-445C-B259-487CE8E99534}"/>
    <cellStyle name="Currency 40" xfId="285" xr:uid="{00000000-0005-0000-0000-0000C8010000}"/>
    <cellStyle name="Currency 40 10" xfId="3161" xr:uid="{FFFE81CB-31AC-43F2-AB0D-E310C948008E}"/>
    <cellStyle name="Currency 40 10 2" xfId="6562" xr:uid="{FDC48A1C-FEEF-4855-B683-8BC5C0CDEE79}"/>
    <cellStyle name="Currency 40 10 3" xfId="9745" xr:uid="{BD14A2A1-3439-4683-AA19-899E6456A7D8}"/>
    <cellStyle name="Currency 40 11" xfId="6823" xr:uid="{753C6538-7BA0-4986-9F56-ABD6991CA23E}"/>
    <cellStyle name="Currency 40 11 2" xfId="9987" xr:uid="{DEE50AFA-FBBB-4EDB-AD28-89171790368F}"/>
    <cellStyle name="Currency 40 12" xfId="7118" xr:uid="{4ABFE0D6-ECCB-4A31-B663-D4A39D002709}"/>
    <cellStyle name="Currency 40 12 2" xfId="10260" xr:uid="{48B37A22-CA79-4DF5-A609-5CE9AB6EBF03}"/>
    <cellStyle name="Currency 40 13" xfId="7361" xr:uid="{43C93951-4E3B-4193-9918-09346C96E194}"/>
    <cellStyle name="Currency 40 13 2" xfId="10499" xr:uid="{EEA7800A-991B-4FB1-8ECD-DA2D46A8CB70}"/>
    <cellStyle name="Currency 40 14" xfId="7417" xr:uid="{56901875-D8BD-49A5-A70C-7732776E73F1}"/>
    <cellStyle name="Currency 40 14 2" xfId="10552" xr:uid="{E09A0FBD-9F2F-46FA-BA49-01E9ECC4D1EA}"/>
    <cellStyle name="Currency 40 15" xfId="4392" xr:uid="{A163BE88-A7BB-4A07-A8BC-0CB820E96083}"/>
    <cellStyle name="Currency 40 16" xfId="4445" xr:uid="{7CC3E9DA-8787-4CFC-8020-187D26C2A750}"/>
    <cellStyle name="Currency 40 17" xfId="10966" xr:uid="{A16E6CB2-7B4F-44AC-BE55-B9D64996F0AE}"/>
    <cellStyle name="Currency 40 18" xfId="11297" xr:uid="{1E34FA04-3D45-4BAA-986F-A430D16A80A3}"/>
    <cellStyle name="Currency 40 19" xfId="11358" xr:uid="{0DC95641-5065-475D-BF72-6265A2C0A6D0}"/>
    <cellStyle name="Currency 40 2" xfId="1290" xr:uid="{00000000-0005-0000-0000-0000C9010000}"/>
    <cellStyle name="Currency 40 2 2" xfId="3401" xr:uid="{EF23188A-C424-4891-9629-E6842FC12B0E}"/>
    <cellStyle name="Currency 40 2 3" xfId="4707" xr:uid="{B798472F-6FFC-4ACB-B319-A65D759F2621}"/>
    <cellStyle name="Currency 40 2 4" xfId="7920" xr:uid="{F4894053-B9B2-4FA0-8316-38171A264DBA}"/>
    <cellStyle name="Currency 40 20" xfId="11238" xr:uid="{39C0E324-669B-43BA-A8CC-DD24B335754A}"/>
    <cellStyle name="Currency 40 21" xfId="11857" xr:uid="{87FA1706-3426-4D23-8523-A9184578D9D8}"/>
    <cellStyle name="Currency 40 22" xfId="12058" xr:uid="{41ACF152-7611-4551-AF86-4EDCA4F8DC3A}"/>
    <cellStyle name="Currency 40 23" xfId="12409" xr:uid="{17ED17D3-2F19-4F3D-9C13-2DFEB867610A}"/>
    <cellStyle name="Currency 40 24" xfId="12272" xr:uid="{4B585C89-8D1D-4C4B-A297-7F7EECABB7D4}"/>
    <cellStyle name="Currency 40 25" xfId="12356" xr:uid="{53324FB2-48FC-47E9-AF0F-C77CAF8339E7}"/>
    <cellStyle name="Currency 40 26" xfId="13103" xr:uid="{29D412FC-1FBB-41BF-8B2E-7DF37F9EE54F}"/>
    <cellStyle name="Currency 40 27" xfId="13162" xr:uid="{D93F206E-3558-4644-8436-8C7E5ED12394}"/>
    <cellStyle name="Currency 40 3" xfId="1476" xr:uid="{00000000-0005-0000-0000-0000CA010000}"/>
    <cellStyle name="Currency 40 3 2" xfId="3586" xr:uid="{18DED259-21A9-4151-8D2F-904A066CA1AD}"/>
    <cellStyle name="Currency 40 3 3" xfId="4892" xr:uid="{78DDC3F2-F9B5-45FA-8A10-F4E3CBAA04B2}"/>
    <cellStyle name="Currency 40 3 4" xfId="8102" xr:uid="{F71D755B-854A-4055-B17A-25244149F393}"/>
    <cellStyle name="Currency 40 4" xfId="1722" xr:uid="{00000000-0005-0000-0000-0000CB010000}"/>
    <cellStyle name="Currency 40 4 2" xfId="3823" xr:uid="{933EEED5-2F62-4841-A27B-B43F3AE1B375}"/>
    <cellStyle name="Currency 40 4 3" xfId="5143" xr:uid="{EC2C7C6C-846A-4E1D-ABCF-90BFB38EF0FE}"/>
    <cellStyle name="Currency 40 4 4" xfId="8342" xr:uid="{05A3A07B-B7A9-470C-B143-7A28DC4A4B0B}"/>
    <cellStyle name="Currency 40 5" xfId="1982" xr:uid="{00000000-0005-0000-0000-0000CC010000}"/>
    <cellStyle name="Currency 40 5 2" xfId="4087" xr:uid="{12F7D038-A31A-484A-A29A-4647EF53361A}"/>
    <cellStyle name="Currency 40 5 3" xfId="5386" xr:uid="{A1F17701-0271-441E-BF2D-20F6FB2FBC63}"/>
    <cellStyle name="Currency 40 5 4" xfId="8578" xr:uid="{750ED5B3-8D60-4490-8A81-742E819CBD72}"/>
    <cellStyle name="Currency 40 6" xfId="2237" xr:uid="{80F0E8CD-FE7B-45B9-8B56-F64EC2F88F94}"/>
    <cellStyle name="Currency 40 6 2" xfId="5622" xr:uid="{C760CBD1-653B-4CFC-97BC-ED7308A6D857}"/>
    <cellStyle name="Currency 40 6 3" xfId="8814" xr:uid="{8E2B8E1D-9D7C-49E0-866C-0DD57F56256B}"/>
    <cellStyle name="Currency 40 7" xfId="2473" xr:uid="{DA5E4092-9CDB-4D5A-91E3-4A2ECD51143F}"/>
    <cellStyle name="Currency 40 7 2" xfId="5852" xr:uid="{BE73953B-E705-4868-A711-D98FDAC6F892}"/>
    <cellStyle name="Currency 40 7 3" xfId="9044" xr:uid="{74830667-6E5C-4FED-A8B8-EAC34A88332D}"/>
    <cellStyle name="Currency 40 8" xfId="2715" xr:uid="{A808A032-EB4B-413B-9B95-2EBD6C1B1750}"/>
    <cellStyle name="Currency 40 8 2" xfId="6083" xr:uid="{9F00EBCB-7A76-4ABD-9BDC-FD971F771810}"/>
    <cellStyle name="Currency 40 8 3" xfId="9274" xr:uid="{7E8F54B2-374A-4EAF-97C6-D871A22DFA94}"/>
    <cellStyle name="Currency 40 9" xfId="2948" xr:uid="{ADCD5A50-A479-4595-976E-ACEA247AB1D7}"/>
    <cellStyle name="Currency 40 9 2" xfId="6316" xr:uid="{158AB161-DF02-4DEF-B926-FE50AD16B6AC}"/>
    <cellStyle name="Currency 40 9 3" xfId="9504" xr:uid="{1F697508-B8CD-4D75-A443-7ADFD5CDD27A}"/>
    <cellStyle name="Currency 41" xfId="286" xr:uid="{00000000-0005-0000-0000-0000CD010000}"/>
    <cellStyle name="Currency 41 10" xfId="3162" xr:uid="{077A3136-6250-4C52-A4A6-82D740BC09F6}"/>
    <cellStyle name="Currency 41 10 2" xfId="6563" xr:uid="{B289EB56-0EE3-45D9-8C3D-3F9C5FA6A900}"/>
    <cellStyle name="Currency 41 10 3" xfId="9746" xr:uid="{F5E9904C-3CAD-43F6-815A-CA8289EBEF83}"/>
    <cellStyle name="Currency 41 11" xfId="6824" xr:uid="{D19FFFEE-19FB-4F07-A856-E2EF88B311D6}"/>
    <cellStyle name="Currency 41 11 2" xfId="9988" xr:uid="{EF1527FB-420D-4C24-832B-B3A1F9AA44C1}"/>
    <cellStyle name="Currency 41 12" xfId="7119" xr:uid="{DD5A87F6-6005-4BED-908E-3745172152C4}"/>
    <cellStyle name="Currency 41 12 2" xfId="10261" xr:uid="{AF27D88C-2584-4539-92F0-8C7517634726}"/>
    <cellStyle name="Currency 41 13" xfId="7362" xr:uid="{96C3CD2E-59E4-4CFD-830D-D6186E9F3CE4}"/>
    <cellStyle name="Currency 41 13 2" xfId="10500" xr:uid="{DF3109C8-9356-4539-BB9E-4C63AFDE6845}"/>
    <cellStyle name="Currency 41 14" xfId="7416" xr:uid="{B136975A-DC8F-4472-89BB-B9AB61B08DF6}"/>
    <cellStyle name="Currency 41 14 2" xfId="10551" xr:uid="{72A254E9-9C12-4C23-8DDF-33750818473F}"/>
    <cellStyle name="Currency 41 15" xfId="4393" xr:uid="{35C3E8FC-EA4A-4008-850B-4BF21E3B4AEC}"/>
    <cellStyle name="Currency 41 16" xfId="4444" xr:uid="{D308BE4A-34AF-4715-AD20-C094E96F2367}"/>
    <cellStyle name="Currency 41 17" xfId="10967" xr:uid="{F86DBBF9-BE15-4BC1-B9B4-6729AF881E1F}"/>
    <cellStyle name="Currency 41 18" xfId="11298" xr:uid="{C76ABF3C-8ED7-45AE-B8F5-35ACAD7D1893}"/>
    <cellStyle name="Currency 41 19" xfId="11357" xr:uid="{CD4435E9-1016-406C-8B28-2E3BCCBE186F}"/>
    <cellStyle name="Currency 41 2" xfId="1291" xr:uid="{00000000-0005-0000-0000-0000CE010000}"/>
    <cellStyle name="Currency 41 2 2" xfId="3402" xr:uid="{B22FB865-DA46-486E-96E1-5FA2C235260D}"/>
    <cellStyle name="Currency 41 2 3" xfId="4708" xr:uid="{F2E10D1D-BB77-4D12-B053-AE663DEE1ACA}"/>
    <cellStyle name="Currency 41 2 4" xfId="7921" xr:uid="{AF927446-110F-4FB5-A03F-A37C2D8F3ABB}"/>
    <cellStyle name="Currency 41 20" xfId="11239" xr:uid="{BC037FF7-C3C0-485A-8F0E-0858D080E773}"/>
    <cellStyle name="Currency 41 21" xfId="11858" xr:uid="{67723B9F-BBF1-4980-A5D2-8695A0297E95}"/>
    <cellStyle name="Currency 41 22" xfId="12059" xr:uid="{047C6001-8A87-4BD6-A7E2-EB11D535CF14}"/>
    <cellStyle name="Currency 41 23" xfId="12410" xr:uid="{FA85CCC0-B525-4EA0-BE81-554F51727708}"/>
    <cellStyle name="Currency 41 24" xfId="12486" xr:uid="{EDB6E5A5-3F16-4F85-8625-87FE7B273D48}"/>
    <cellStyle name="Currency 41 25" xfId="12357" xr:uid="{CD2D9A69-A5BF-4025-89B2-F177D5141CE9}"/>
    <cellStyle name="Currency 41 26" xfId="13104" xr:uid="{24752FBF-107B-4ADF-942C-6EFB1C9EB7A6}"/>
    <cellStyle name="Currency 41 27" xfId="13161" xr:uid="{BE2D73D2-8071-4792-A54B-7E012089BCF4}"/>
    <cellStyle name="Currency 41 3" xfId="1477" xr:uid="{00000000-0005-0000-0000-0000CF010000}"/>
    <cellStyle name="Currency 41 3 2" xfId="3587" xr:uid="{1B3B8470-B533-4248-AD81-18ECB1B6510B}"/>
    <cellStyle name="Currency 41 3 3" xfId="4893" xr:uid="{44CD0805-CC09-476B-906B-E720633898E8}"/>
    <cellStyle name="Currency 41 3 4" xfId="8103" xr:uid="{19BF63B8-59AD-4E47-BD5B-DD99EF4B4CDD}"/>
    <cellStyle name="Currency 41 4" xfId="1723" xr:uid="{00000000-0005-0000-0000-0000D0010000}"/>
    <cellStyle name="Currency 41 4 2" xfId="3824" xr:uid="{33F3F2B3-9303-4866-920F-CF9EEEE138E5}"/>
    <cellStyle name="Currency 41 4 3" xfId="5144" xr:uid="{E0F6F93E-2CF3-4BCB-961A-B917A294428A}"/>
    <cellStyle name="Currency 41 4 4" xfId="8343" xr:uid="{D32C20FE-8951-42AF-906A-6B26D7EC082D}"/>
    <cellStyle name="Currency 41 5" xfId="1983" xr:uid="{00000000-0005-0000-0000-0000D1010000}"/>
    <cellStyle name="Currency 41 5 2" xfId="4088" xr:uid="{CAA863D0-8393-4FC9-80BB-6530E8369447}"/>
    <cellStyle name="Currency 41 5 3" xfId="5387" xr:uid="{784F8BEC-F1FC-48E3-A227-3CBBD57D0F2A}"/>
    <cellStyle name="Currency 41 5 4" xfId="8579" xr:uid="{4D8FE439-234C-43A8-A95F-920F8AF754F6}"/>
    <cellStyle name="Currency 41 6" xfId="2238" xr:uid="{F7BF67BB-811B-4E80-8B0A-D40DDA81D7E5}"/>
    <cellStyle name="Currency 41 6 2" xfId="5623" xr:uid="{60318B4C-A90D-4C96-9EDD-33B47EB17EC1}"/>
    <cellStyle name="Currency 41 6 3" xfId="8815" xr:uid="{C1A312F9-E10E-4520-A82E-1DBBFB16DC44}"/>
    <cellStyle name="Currency 41 7" xfId="2474" xr:uid="{1F727A21-A1BD-4E5A-8B3C-674A92E820D7}"/>
    <cellStyle name="Currency 41 7 2" xfId="5853" xr:uid="{C4F4A6F3-86BF-4BAA-A4B6-78EBF1D11261}"/>
    <cellStyle name="Currency 41 7 3" xfId="9045" xr:uid="{43A48F47-CDCB-4C12-A5A0-D8F2F3CE6BED}"/>
    <cellStyle name="Currency 41 8" xfId="2716" xr:uid="{7E57449E-8FE1-4863-8DA4-350A1DEC854E}"/>
    <cellStyle name="Currency 41 8 2" xfId="6084" xr:uid="{11B16227-51B6-4BEF-976A-515CBE8C1E91}"/>
    <cellStyle name="Currency 41 8 3" xfId="9275" xr:uid="{17A8093D-F9AC-47B2-81DB-E86FF4229F3C}"/>
    <cellStyle name="Currency 41 9" xfId="2949" xr:uid="{A8C17F41-C7C9-4843-81A7-40B96D737CEC}"/>
    <cellStyle name="Currency 41 9 2" xfId="6317" xr:uid="{519B0E7D-B74A-44C9-AAB9-0F67A8231510}"/>
    <cellStyle name="Currency 41 9 3" xfId="9505" xr:uid="{F5E1D9E3-8DF7-4C95-9D95-11CD1DA6CF13}"/>
    <cellStyle name="Currency 42" xfId="287" xr:uid="{00000000-0005-0000-0000-0000D2010000}"/>
    <cellStyle name="Currency 42 10" xfId="3163" xr:uid="{78E9CE9D-2120-4E90-A91C-7D2542639F63}"/>
    <cellStyle name="Currency 42 10 2" xfId="6564" xr:uid="{DB44351E-3CE8-433B-A901-2C69E9876E19}"/>
    <cellStyle name="Currency 42 10 3" xfId="9747" xr:uid="{0B162BDC-5290-4CCD-A409-EBCCC4E2FE55}"/>
    <cellStyle name="Currency 42 11" xfId="6825" xr:uid="{CE225E2C-EE4F-4332-98CD-4BFC8E2F64DD}"/>
    <cellStyle name="Currency 42 11 2" xfId="9989" xr:uid="{CAA06A43-1AB7-4AFB-BAEA-7A772977D5BB}"/>
    <cellStyle name="Currency 42 12" xfId="7120" xr:uid="{1B3B96F5-CC84-41B2-90B4-ABEB3C5143B9}"/>
    <cellStyle name="Currency 42 12 2" xfId="10262" xr:uid="{B97B2FFF-7EBC-43FF-B6BD-00839D4F7774}"/>
    <cellStyle name="Currency 42 13" xfId="7363" xr:uid="{64810FBE-986E-4009-8758-A567877AC120}"/>
    <cellStyle name="Currency 42 13 2" xfId="10501" xr:uid="{CE15E61B-24C6-4C53-AF44-D2378EC78E34}"/>
    <cellStyle name="Currency 42 14" xfId="7415" xr:uid="{333D9EAF-5D4B-494B-B36E-28D153078D90}"/>
    <cellStyle name="Currency 42 14 2" xfId="10550" xr:uid="{3B5EB9F1-55C2-4C1C-BC69-225154487CCE}"/>
    <cellStyle name="Currency 42 15" xfId="4394" xr:uid="{10786FA7-8A3A-47AE-840F-F0453A111E2B}"/>
    <cellStyle name="Currency 42 16" xfId="4443" xr:uid="{4867DF28-33A1-4EEF-AC43-3707474F2F67}"/>
    <cellStyle name="Currency 42 17" xfId="10968" xr:uid="{E483A96A-A45B-4FC3-AA9F-9B536EF6669A}"/>
    <cellStyle name="Currency 42 18" xfId="11299" xr:uid="{02B50360-F9FA-4AB0-8362-E2D6BF517421}"/>
    <cellStyle name="Currency 42 19" xfId="11356" xr:uid="{C681DD98-2D1E-4678-99F1-247815EBF934}"/>
    <cellStyle name="Currency 42 2" xfId="1292" xr:uid="{00000000-0005-0000-0000-0000D3010000}"/>
    <cellStyle name="Currency 42 2 2" xfId="3403" xr:uid="{4AB8143A-0B07-4EB7-945B-9B20D0C948E4}"/>
    <cellStyle name="Currency 42 2 3" xfId="4709" xr:uid="{4FF8E4BB-AC50-4828-80A4-9BA80AEC407B}"/>
    <cellStyle name="Currency 42 2 4" xfId="7922" xr:uid="{7E2D60F6-3340-4297-A9AE-1D8AD144C66A}"/>
    <cellStyle name="Currency 42 20" xfId="11240" xr:uid="{C9DD616A-8E8B-4374-9840-D35562ACADAC}"/>
    <cellStyle name="Currency 42 21" xfId="11859" xr:uid="{509BB00F-1AE5-4D5D-BA14-FBA7B9CE4831}"/>
    <cellStyle name="Currency 42 22" xfId="12060" xr:uid="{151B894C-C7E6-48D9-B58B-E84659FF9153}"/>
    <cellStyle name="Currency 42 23" xfId="12411" xr:uid="{C8A982F9-B48C-4257-91BC-5298D28B81AA}"/>
    <cellStyle name="Currency 42 24" xfId="12485" xr:uid="{ED23D53E-25E5-488F-8B02-72B0F9423E85}"/>
    <cellStyle name="Currency 42 25" xfId="12358" xr:uid="{CE3ADF37-EBD7-4433-9C86-2F55C0C22DC9}"/>
    <cellStyle name="Currency 42 26" xfId="13105" xr:uid="{2237AC98-D4E8-42F8-927C-016DE7A5DB05}"/>
    <cellStyle name="Currency 42 27" xfId="13160" xr:uid="{495EDC38-56D1-45CE-AA36-21270BFA3B7F}"/>
    <cellStyle name="Currency 42 3" xfId="1478" xr:uid="{00000000-0005-0000-0000-0000D4010000}"/>
    <cellStyle name="Currency 42 3 2" xfId="3588" xr:uid="{78846AD0-D667-43A5-B8BF-425E32822510}"/>
    <cellStyle name="Currency 42 3 3" xfId="4894" xr:uid="{633CA540-B2D4-4FFF-9DE1-3E41ED77507B}"/>
    <cellStyle name="Currency 42 3 4" xfId="8104" xr:uid="{D084BB1C-30FA-4515-A7B5-C83187300034}"/>
    <cellStyle name="Currency 42 4" xfId="1724" xr:uid="{00000000-0005-0000-0000-0000D5010000}"/>
    <cellStyle name="Currency 42 4 2" xfId="3825" xr:uid="{1B4D9162-3A47-4AFC-840C-6FE814CADFC6}"/>
    <cellStyle name="Currency 42 4 3" xfId="5145" xr:uid="{45BDFA75-E981-4575-B166-FD4CACAAD7D8}"/>
    <cellStyle name="Currency 42 4 4" xfId="8344" xr:uid="{3C34CBB5-C2BD-4525-BF3D-8617DC53B142}"/>
    <cellStyle name="Currency 42 5" xfId="1984" xr:uid="{00000000-0005-0000-0000-0000D6010000}"/>
    <cellStyle name="Currency 42 5 2" xfId="4089" xr:uid="{784315DC-0DED-4AD1-9C5B-A08AB308B40C}"/>
    <cellStyle name="Currency 42 5 3" xfId="5388" xr:uid="{40EF3A84-D271-4A00-83B7-1F5594EA6746}"/>
    <cellStyle name="Currency 42 5 4" xfId="8580" xr:uid="{51A79622-F8F4-47DF-8CFB-B4BABE6B7C8D}"/>
    <cellStyle name="Currency 42 6" xfId="2239" xr:uid="{605FFBDC-98EC-4ABE-85D6-74CDF753D29B}"/>
    <cellStyle name="Currency 42 6 2" xfId="5624" xr:uid="{73DA7D23-08E7-4ED2-8AAB-38B93DF0C43F}"/>
    <cellStyle name="Currency 42 6 3" xfId="8816" xr:uid="{4708E749-C4CC-4632-8D5A-86DFF1EFC98B}"/>
    <cellStyle name="Currency 42 7" xfId="2475" xr:uid="{75CD75BD-9363-4BBC-B9DC-6792F6EAA8CA}"/>
    <cellStyle name="Currency 42 7 2" xfId="5854" xr:uid="{0A7B0816-65BD-472F-A76D-B89D2C8A735F}"/>
    <cellStyle name="Currency 42 7 3" xfId="9046" xr:uid="{A0775C0F-D992-4988-B6F4-BDC085F98911}"/>
    <cellStyle name="Currency 42 8" xfId="2717" xr:uid="{D7A59DAF-FF70-45EC-9763-EA654FCBB63F}"/>
    <cellStyle name="Currency 42 8 2" xfId="6085" xr:uid="{854954E6-C762-4959-8186-AC6F59C5292C}"/>
    <cellStyle name="Currency 42 8 3" xfId="9276" xr:uid="{80326A61-83C1-4135-8D15-EF3F30BACF7E}"/>
    <cellStyle name="Currency 42 9" xfId="2950" xr:uid="{1FE02B04-F8D6-4A14-BD38-81A78DDB2D45}"/>
    <cellStyle name="Currency 42 9 2" xfId="6318" xr:uid="{924CF8A1-112F-4A2E-A650-EB75D55EBE28}"/>
    <cellStyle name="Currency 42 9 3" xfId="9506" xr:uid="{464B54E2-A4EF-4196-A3D1-67827F1CC586}"/>
    <cellStyle name="Currency 43" xfId="288" xr:uid="{00000000-0005-0000-0000-0000D7010000}"/>
    <cellStyle name="Currency 43 10" xfId="3164" xr:uid="{F043ECD0-0B90-4D32-B67A-19D60C1EBABE}"/>
    <cellStyle name="Currency 43 10 2" xfId="6565" xr:uid="{889DC1B9-32FD-447E-9EBC-6C58816A708B}"/>
    <cellStyle name="Currency 43 10 3" xfId="9748" xr:uid="{C54C021F-4242-407C-AC42-10BF06554A3C}"/>
    <cellStyle name="Currency 43 11" xfId="6826" xr:uid="{3B218C64-E00A-47DD-8F82-0C602C0AE355}"/>
    <cellStyle name="Currency 43 11 2" xfId="9990" xr:uid="{E25F4D6A-FE37-45EE-BE78-329EAF1BFB4A}"/>
    <cellStyle name="Currency 43 12" xfId="7121" xr:uid="{1CC8B203-0E12-41AD-99B5-69A094352CC3}"/>
    <cellStyle name="Currency 43 12 2" xfId="10263" xr:uid="{850BE043-BE2D-4177-9056-35B286A65DA0}"/>
    <cellStyle name="Currency 43 13" xfId="7364" xr:uid="{661EE15A-CB5E-44CD-8A00-AEB794F22C29}"/>
    <cellStyle name="Currency 43 13 2" xfId="10502" xr:uid="{6E13325E-F925-4061-9FE6-B13F6C314410}"/>
    <cellStyle name="Currency 43 14" xfId="7414" xr:uid="{D4646484-D7A4-478E-A2C2-3C6E19691BDF}"/>
    <cellStyle name="Currency 43 14 2" xfId="10549" xr:uid="{94CFD7A0-FE04-4390-A095-43CCD8525AEC}"/>
    <cellStyle name="Currency 43 15" xfId="4395" xr:uid="{C6FBA810-B9AD-4363-B5D3-202C3610FDA6}"/>
    <cellStyle name="Currency 43 16" xfId="4442" xr:uid="{0E0CF1FB-43E6-40EE-B7D6-BD44E674AE50}"/>
    <cellStyle name="Currency 43 17" xfId="10969" xr:uid="{855EF74C-6A55-4E14-9CB1-395492CCC3F3}"/>
    <cellStyle name="Currency 43 18" xfId="11300" xr:uid="{D30A9AB4-49BF-4A1F-8DF9-E9DF091B3480}"/>
    <cellStyle name="Currency 43 19" xfId="11355" xr:uid="{97F5D314-3911-4916-B9C0-FA667D7D1988}"/>
    <cellStyle name="Currency 43 2" xfId="1293" xr:uid="{00000000-0005-0000-0000-0000D8010000}"/>
    <cellStyle name="Currency 43 2 2" xfId="3404" xr:uid="{37AA8C69-F005-4A42-8D1B-2D4B85113E2F}"/>
    <cellStyle name="Currency 43 2 3" xfId="4710" xr:uid="{7923C637-894C-429B-B24D-7B9258196ED4}"/>
    <cellStyle name="Currency 43 2 4" xfId="7923" xr:uid="{DB1F527C-75FC-4DD4-864A-3C635F42F6AA}"/>
    <cellStyle name="Currency 43 20" xfId="11241" xr:uid="{6A565E74-6917-4F2B-91B2-E50C0C54BF07}"/>
    <cellStyle name="Currency 43 21" xfId="11860" xr:uid="{08667C1A-7CC0-49E7-AA11-39D711A158AA}"/>
    <cellStyle name="Currency 43 22" xfId="12061" xr:uid="{1B772505-7249-43DE-84FD-4015BAFCD587}"/>
    <cellStyle name="Currency 43 23" xfId="12412" xr:uid="{29BB339C-DDEE-4C8F-8C91-328C2894F345}"/>
    <cellStyle name="Currency 43 24" xfId="12484" xr:uid="{B5C4737B-517C-4252-8135-BFC37F4C49AB}"/>
    <cellStyle name="Currency 43 25" xfId="12359" xr:uid="{EFA13FB9-A7BD-4189-AD2E-68E25A143813}"/>
    <cellStyle name="Currency 43 26" xfId="13106" xr:uid="{6C2F0BF6-79B0-4B70-8929-CB9D55D38D26}"/>
    <cellStyle name="Currency 43 27" xfId="13159" xr:uid="{B311D872-8CC8-4BEE-AD89-8A57F69E752C}"/>
    <cellStyle name="Currency 43 3" xfId="1479" xr:uid="{00000000-0005-0000-0000-0000D9010000}"/>
    <cellStyle name="Currency 43 3 2" xfId="3589" xr:uid="{88FDE89C-494B-4335-B367-005851DF0445}"/>
    <cellStyle name="Currency 43 3 3" xfId="4895" xr:uid="{911CC1B9-DA40-4538-8159-8E5A4D2C8AFB}"/>
    <cellStyle name="Currency 43 3 4" xfId="8105" xr:uid="{6153B3DC-DF6A-4626-A96B-B189227453EF}"/>
    <cellStyle name="Currency 43 4" xfId="1725" xr:uid="{00000000-0005-0000-0000-0000DA010000}"/>
    <cellStyle name="Currency 43 4 2" xfId="3826" xr:uid="{9150F59C-C178-43C5-B582-7D06A88812D9}"/>
    <cellStyle name="Currency 43 4 3" xfId="5146" xr:uid="{ED767D91-F840-4BCF-9A90-417129313CA5}"/>
    <cellStyle name="Currency 43 4 4" xfId="8345" xr:uid="{9EE9F58A-5419-483F-830E-06D29EC38C5B}"/>
    <cellStyle name="Currency 43 5" xfId="1985" xr:uid="{00000000-0005-0000-0000-0000DB010000}"/>
    <cellStyle name="Currency 43 5 2" xfId="4090" xr:uid="{CDEF02C4-0DF7-4F80-B4C8-ABB945771755}"/>
    <cellStyle name="Currency 43 5 3" xfId="5389" xr:uid="{E9AF3D2B-5933-48FD-B3DF-7AA7C67038E7}"/>
    <cellStyle name="Currency 43 5 4" xfId="8581" xr:uid="{334CFB35-1D51-4836-AF04-7CCDFC6F1B6A}"/>
    <cellStyle name="Currency 43 6" xfId="2240" xr:uid="{4B0904F4-709E-40EC-9D26-34755C405F03}"/>
    <cellStyle name="Currency 43 6 2" xfId="5625" xr:uid="{15223253-3548-4089-93D6-5000FCF247A3}"/>
    <cellStyle name="Currency 43 6 3" xfId="8817" xr:uid="{8D82B1DE-501A-4871-BE08-24317865055A}"/>
    <cellStyle name="Currency 43 7" xfId="2476" xr:uid="{121F29C8-C44F-44B2-B814-2592FEE6804F}"/>
    <cellStyle name="Currency 43 7 2" xfId="5855" xr:uid="{7400F8E1-1858-4939-8FE0-5566FA3403A0}"/>
    <cellStyle name="Currency 43 7 3" xfId="9047" xr:uid="{85B8F5CD-DB3E-4AEF-A534-ECE6900479EC}"/>
    <cellStyle name="Currency 43 8" xfId="2718" xr:uid="{B1ABBB83-F97A-4070-AB2D-73213808AC4E}"/>
    <cellStyle name="Currency 43 8 2" xfId="6086" xr:uid="{9F198CEF-EBFA-41AA-975D-913C2C1FCFDF}"/>
    <cellStyle name="Currency 43 8 3" xfId="9277" xr:uid="{F395B3E2-D9AC-4CA2-9C6E-876A082E5487}"/>
    <cellStyle name="Currency 43 9" xfId="2951" xr:uid="{D72960F7-5D92-4E7A-8457-5B14F943F21F}"/>
    <cellStyle name="Currency 43 9 2" xfId="6319" xr:uid="{25BA7590-EF5F-4369-9D8B-37B139745F23}"/>
    <cellStyle name="Currency 43 9 3" xfId="9507" xr:uid="{11B09131-9180-4C72-A4C2-FB162EF213AD}"/>
    <cellStyle name="Currency 44" xfId="289" xr:uid="{00000000-0005-0000-0000-0000DC010000}"/>
    <cellStyle name="Currency 44 10" xfId="3165" xr:uid="{E8A33CA9-5750-4247-9BC5-A7C1A75BE477}"/>
    <cellStyle name="Currency 44 10 2" xfId="6566" xr:uid="{D4E81226-6621-440C-BCA3-3128A02DF036}"/>
    <cellStyle name="Currency 44 10 3" xfId="9749" xr:uid="{447116BE-7B64-4BAE-80A0-A192230F20B6}"/>
    <cellStyle name="Currency 44 11" xfId="6827" xr:uid="{A97ACEDF-B413-4CB3-8E8E-09746A65B420}"/>
    <cellStyle name="Currency 44 11 2" xfId="9991" xr:uid="{6F07877B-9123-48D7-977A-96D5F9D73B0C}"/>
    <cellStyle name="Currency 44 12" xfId="7122" xr:uid="{4A8318E7-2209-46DA-8AB1-43DAE215CBFD}"/>
    <cellStyle name="Currency 44 12 2" xfId="10264" xr:uid="{ECA0621D-A7D2-4046-919D-B6DEFA6DC4C2}"/>
    <cellStyle name="Currency 44 13" xfId="7365" xr:uid="{E21F38FD-EF46-407B-AC65-44A27DB6D11C}"/>
    <cellStyle name="Currency 44 13 2" xfId="10503" xr:uid="{E165F0F6-1639-4398-9AF9-EA79EB7ECF92}"/>
    <cellStyle name="Currency 44 14" xfId="7413" xr:uid="{F0F568DD-295D-4FEF-9D37-8E3E7312412A}"/>
    <cellStyle name="Currency 44 14 2" xfId="10548" xr:uid="{9634CBE7-59C2-475C-9EEB-8BC2007D2948}"/>
    <cellStyle name="Currency 44 15" xfId="4396" xr:uid="{5F4FE0BB-2E82-4A58-8E6F-C43D93D476F6}"/>
    <cellStyle name="Currency 44 16" xfId="4441" xr:uid="{85608272-8AEA-41EE-9D86-9BB86D8DCC53}"/>
    <cellStyle name="Currency 44 17" xfId="10970" xr:uid="{4CA735BF-7880-4C78-8D94-1D684C4A3E47}"/>
    <cellStyle name="Currency 44 18" xfId="11301" xr:uid="{2DEFC825-6CB6-4DEB-AC26-CA89E649A8C3}"/>
    <cellStyle name="Currency 44 19" xfId="11354" xr:uid="{16EBD4A5-BA60-4A57-873D-07E03D36E8E1}"/>
    <cellStyle name="Currency 44 2" xfId="1294" xr:uid="{00000000-0005-0000-0000-0000DD010000}"/>
    <cellStyle name="Currency 44 2 2" xfId="3405" xr:uid="{68A02CC5-C8A3-4119-8AFE-6F927CFF44FC}"/>
    <cellStyle name="Currency 44 2 3" xfId="4711" xr:uid="{1E2956C8-F08D-4388-8F1A-90EC52F8D56D}"/>
    <cellStyle name="Currency 44 2 4" xfId="7924" xr:uid="{D2D39F54-AB5E-4AD9-ACD7-872EDE2F4DC2}"/>
    <cellStyle name="Currency 44 20" xfId="11242" xr:uid="{041F8FD2-3779-4FFB-A610-657961DA9AD7}"/>
    <cellStyle name="Currency 44 21" xfId="11861" xr:uid="{98BCF024-A479-4BE7-B15B-D74A4A7B735E}"/>
    <cellStyle name="Currency 44 22" xfId="12062" xr:uid="{95C3F14E-8767-4711-B9BF-A83E636821AD}"/>
    <cellStyle name="Currency 44 23" xfId="12413" xr:uid="{355EB75C-0D33-43C8-97BB-5689FFB328DE}"/>
    <cellStyle name="Currency 44 24" xfId="12483" xr:uid="{637ADDDA-DCD6-49FC-A070-3993A03701C9}"/>
    <cellStyle name="Currency 44 25" xfId="12360" xr:uid="{DFC81B6C-296B-4AF0-9D70-EA498D336C9D}"/>
    <cellStyle name="Currency 44 26" xfId="13107" xr:uid="{2EA9875B-64E7-4BEF-9F8A-E03BD4A135B1}"/>
    <cellStyle name="Currency 44 27" xfId="13158" xr:uid="{A3C4C759-8782-4A79-8832-F3B87CFF5905}"/>
    <cellStyle name="Currency 44 3" xfId="1480" xr:uid="{00000000-0005-0000-0000-0000DE010000}"/>
    <cellStyle name="Currency 44 3 2" xfId="3590" xr:uid="{C28CCBB0-2125-4048-8C0F-2961A9136BDB}"/>
    <cellStyle name="Currency 44 3 3" xfId="4896" xr:uid="{043D5D1D-FA9A-4782-A5EC-26F36AEC796D}"/>
    <cellStyle name="Currency 44 3 4" xfId="8106" xr:uid="{B77158CD-EF00-47DD-A712-71A750543EBB}"/>
    <cellStyle name="Currency 44 4" xfId="1726" xr:uid="{00000000-0005-0000-0000-0000DF010000}"/>
    <cellStyle name="Currency 44 4 2" xfId="3827" xr:uid="{07C65643-E6B8-4D09-BD15-F9C544391390}"/>
    <cellStyle name="Currency 44 4 3" xfId="5147" xr:uid="{FD3E0DE3-FF8A-4AFF-B1EF-FE5DA7BFC3EE}"/>
    <cellStyle name="Currency 44 4 4" xfId="8346" xr:uid="{E1778691-1250-49ED-8DF4-847CBF94C1C3}"/>
    <cellStyle name="Currency 44 5" xfId="1986" xr:uid="{00000000-0005-0000-0000-0000E0010000}"/>
    <cellStyle name="Currency 44 5 2" xfId="4091" xr:uid="{AF8219FB-D945-4B26-91B6-0A4FDB47E1B7}"/>
    <cellStyle name="Currency 44 5 3" xfId="5390" xr:uid="{A699DDDF-A42D-4812-BFAF-9A22316BCFA4}"/>
    <cellStyle name="Currency 44 5 4" xfId="8582" xr:uid="{87713701-5543-49E0-BBC5-3FFA3ECD0BBC}"/>
    <cellStyle name="Currency 44 6" xfId="2241" xr:uid="{7EC3BF27-FE17-43F1-8ECE-05BC80974567}"/>
    <cellStyle name="Currency 44 6 2" xfId="5626" xr:uid="{36CD9547-C6FC-416E-AB65-081D767C6D69}"/>
    <cellStyle name="Currency 44 6 3" xfId="8818" xr:uid="{4AB55D0B-BE7C-4527-89DE-C3B4B88CBB7F}"/>
    <cellStyle name="Currency 44 7" xfId="2477" xr:uid="{41FC4C12-FEF2-4E53-92F4-941EDEACC430}"/>
    <cellStyle name="Currency 44 7 2" xfId="5856" xr:uid="{5FE01915-B3CE-4132-AC38-83A359E108F7}"/>
    <cellStyle name="Currency 44 7 3" xfId="9048" xr:uid="{7A619360-C0C6-4013-B48A-32EA73B2C10C}"/>
    <cellStyle name="Currency 44 8" xfId="2719" xr:uid="{CD4FEC4F-F048-4850-A284-468B6E2BDBC3}"/>
    <cellStyle name="Currency 44 8 2" xfId="6087" xr:uid="{12A19227-3E63-4984-A871-883762C5DD47}"/>
    <cellStyle name="Currency 44 8 3" xfId="9278" xr:uid="{8935E608-67B4-4DAC-AD1A-9357F2D2ADA3}"/>
    <cellStyle name="Currency 44 9" xfId="2952" xr:uid="{C2FCEC8A-81B7-4F9B-BBE5-149B95340EB1}"/>
    <cellStyle name="Currency 44 9 2" xfId="6320" xr:uid="{B3A10A35-2A10-40DC-94BE-10B2EBD67EE7}"/>
    <cellStyle name="Currency 44 9 3" xfId="9508" xr:uid="{79B2A0B6-B650-4592-B19B-24786E6A6803}"/>
    <cellStyle name="Currency 5" xfId="290" xr:uid="{00000000-0005-0000-0000-0000E1010000}"/>
    <cellStyle name="Currency 5 10" xfId="2953" xr:uid="{A49D7BE6-2A2A-43B7-B168-1C8F806C6E5F}"/>
    <cellStyle name="Currency 5 10 2" xfId="6321" xr:uid="{14714561-8B78-428D-B385-898ECE92B0B2}"/>
    <cellStyle name="Currency 5 10 3" xfId="9509" xr:uid="{9CBE7EBA-0C35-4721-B4FA-A410DE50E82D}"/>
    <cellStyle name="Currency 5 11" xfId="3166" xr:uid="{DE2F0D82-7669-4585-B735-1D907F17C62A}"/>
    <cellStyle name="Currency 5 11 2" xfId="6567" xr:uid="{A755C3DD-AA3D-42E5-AC96-589329B0129E}"/>
    <cellStyle name="Currency 5 11 3" xfId="9750" xr:uid="{59790834-CBFA-41FD-9578-5449DB2760B9}"/>
    <cellStyle name="Currency 5 12" xfId="6828" xr:uid="{B88DB820-B0F3-4A4D-B1C6-0637CFED467A}"/>
    <cellStyle name="Currency 5 12 2" xfId="9992" xr:uid="{441CA2C4-41EF-414E-A663-D19B7DD39F1D}"/>
    <cellStyle name="Currency 5 13" xfId="7123" xr:uid="{A80A9DE2-EB01-48C9-A13A-2D175422B204}"/>
    <cellStyle name="Currency 5 13 2" xfId="10265" xr:uid="{586280AB-4C2C-4FE4-81C1-93EB3645EE96}"/>
    <cellStyle name="Currency 5 14" xfId="7366" xr:uid="{10FA8D33-6994-4375-9E95-04289322CC31}"/>
    <cellStyle name="Currency 5 14 2" xfId="10504" xr:uid="{AB2826B0-3349-4184-8243-AD337145D82C}"/>
    <cellStyle name="Currency 5 15" xfId="7412" xr:uid="{9826964D-3CD2-4CD0-B4DF-94253AD0E175}"/>
    <cellStyle name="Currency 5 15 2" xfId="10547" xr:uid="{EEFF53EB-9630-4F77-A11F-65CC430A46BF}"/>
    <cellStyle name="Currency 5 16" xfId="4397" xr:uid="{12522976-BA5A-4EDE-9759-EE0B5B0AF696}"/>
    <cellStyle name="Currency 5 17" xfId="4440" xr:uid="{581DD801-33DC-4011-A649-7A041B48B6D7}"/>
    <cellStyle name="Currency 5 18" xfId="10971" xr:uid="{20D84AC2-65F9-485B-895E-89050599852A}"/>
    <cellStyle name="Currency 5 19" xfId="11302" xr:uid="{8CF5F950-306D-4C4B-9E1E-3B7303BCC13E}"/>
    <cellStyle name="Currency 5 2" xfId="291" xr:uid="{00000000-0005-0000-0000-0000E2010000}"/>
    <cellStyle name="Currency 5 2 10" xfId="3167" xr:uid="{9EB774A9-DADF-40D4-8434-29EB9D26F4D3}"/>
    <cellStyle name="Currency 5 2 10 2" xfId="6568" xr:uid="{124F5251-9E4B-489F-9CD9-EDCC7CA5AFD8}"/>
    <cellStyle name="Currency 5 2 10 3" xfId="9751" xr:uid="{7B8A1685-84CD-4116-B422-5FE6EE102794}"/>
    <cellStyle name="Currency 5 2 11" xfId="6829" xr:uid="{D9A33E72-137F-4095-A848-30763EB22DC2}"/>
    <cellStyle name="Currency 5 2 11 2" xfId="9993" xr:uid="{1D4A98B4-6874-4535-AD55-1E3119113A86}"/>
    <cellStyle name="Currency 5 2 12" xfId="7124" xr:uid="{1C7B0107-8805-48BD-AE5F-61E386A73195}"/>
    <cellStyle name="Currency 5 2 12 2" xfId="10266" xr:uid="{E6994D82-4795-4A75-B95F-7E70E988A5CF}"/>
    <cellStyle name="Currency 5 2 13" xfId="7367" xr:uid="{7DF618C3-B2DF-4013-A3F4-1FC0C2A1C9FA}"/>
    <cellStyle name="Currency 5 2 13 2" xfId="10505" xr:uid="{B87D98B1-D089-410C-A9C4-B36CBD20E70C}"/>
    <cellStyle name="Currency 5 2 14" xfId="7411" xr:uid="{9885D9EE-DAE8-42FB-B746-CCC12252ADDC}"/>
    <cellStyle name="Currency 5 2 14 2" xfId="10546" xr:uid="{15607438-0B27-493D-BF22-335B71ED5B05}"/>
    <cellStyle name="Currency 5 2 15" xfId="4398" xr:uid="{099AEB80-0C1A-40B0-BFF7-E49EAEAF13D1}"/>
    <cellStyle name="Currency 5 2 16" xfId="4439" xr:uid="{285F0D2C-BE43-49E4-8063-83BD0C693B0F}"/>
    <cellStyle name="Currency 5 2 17" xfId="10972" xr:uid="{64ADE4C3-4C15-4885-B758-4A9F208DB2B9}"/>
    <cellStyle name="Currency 5 2 18" xfId="11303" xr:uid="{35C2142D-1E18-4483-9071-8AB356BD86B4}"/>
    <cellStyle name="Currency 5 2 19" xfId="11352" xr:uid="{3588D93F-6808-46D0-BB0D-325545AD32C2}"/>
    <cellStyle name="Currency 5 2 2" xfId="1296" xr:uid="{00000000-0005-0000-0000-0000E3010000}"/>
    <cellStyle name="Currency 5 2 2 2" xfId="3407" xr:uid="{89012371-8453-4C3F-897F-4FAFEE43AB57}"/>
    <cellStyle name="Currency 5 2 2 3" xfId="4713" xr:uid="{B6487C0E-68A5-482E-A219-BFF0F66BB43B}"/>
    <cellStyle name="Currency 5 2 2 4" xfId="7926" xr:uid="{45070724-44F4-4D6C-8D5D-C69C8F7D0281}"/>
    <cellStyle name="Currency 5 2 20" xfId="11244" xr:uid="{30B3B6EC-57E5-45EB-86D6-B7875BD6A2DB}"/>
    <cellStyle name="Currency 5 2 21" xfId="11863" xr:uid="{C31CA5A7-0A4E-46B2-A111-FFDA0182CFAE}"/>
    <cellStyle name="Currency 5 2 22" xfId="12064" xr:uid="{044798F3-6388-446B-8721-AE567F08442C}"/>
    <cellStyle name="Currency 5 2 23" xfId="12415" xr:uid="{A2104710-AEDD-42A7-8710-88E346A79987}"/>
    <cellStyle name="Currency 5 2 24" xfId="12481" xr:uid="{9DE001B4-C12F-4FDC-B9C1-9DDB9D525AB1}"/>
    <cellStyle name="Currency 5 2 25" xfId="12362" xr:uid="{9F735C6A-BE34-4BB5-A50A-7E34289F4094}"/>
    <cellStyle name="Currency 5 2 26" xfId="13109" xr:uid="{ED55603B-F9E0-42AE-AEB0-870E5F35C302}"/>
    <cellStyle name="Currency 5 2 27" xfId="13156" xr:uid="{88881F97-4C2C-4355-AE4B-B8830DEB80AA}"/>
    <cellStyle name="Currency 5 2 3" xfId="1482" xr:uid="{00000000-0005-0000-0000-0000E4010000}"/>
    <cellStyle name="Currency 5 2 3 2" xfId="3592" xr:uid="{F4549CF2-8FD9-42A1-86F0-89282F81EB45}"/>
    <cellStyle name="Currency 5 2 3 3" xfId="4898" xr:uid="{39FEF06D-29BB-4606-A330-B2979B26AD3B}"/>
    <cellStyle name="Currency 5 2 3 4" xfId="8108" xr:uid="{E79D5C22-B24F-4724-BB4D-00D9EA71C3C6}"/>
    <cellStyle name="Currency 5 2 4" xfId="1728" xr:uid="{00000000-0005-0000-0000-0000E5010000}"/>
    <cellStyle name="Currency 5 2 4 2" xfId="3829" xr:uid="{64D757D8-08AD-47E1-87CB-EE4251A54C1B}"/>
    <cellStyle name="Currency 5 2 4 3" xfId="5149" xr:uid="{CD023D96-AF14-4FF2-812C-8F803745258F}"/>
    <cellStyle name="Currency 5 2 4 4" xfId="8348" xr:uid="{E31BEF4B-8F61-47AD-8D50-C28A90790005}"/>
    <cellStyle name="Currency 5 2 5" xfId="1988" xr:uid="{00000000-0005-0000-0000-0000E6010000}"/>
    <cellStyle name="Currency 5 2 5 2" xfId="4093" xr:uid="{A47B1960-8903-47AB-A46D-4A750714B559}"/>
    <cellStyle name="Currency 5 2 5 3" xfId="5392" xr:uid="{8730CFED-2315-446B-8864-887A5F750724}"/>
    <cellStyle name="Currency 5 2 5 4" xfId="8584" xr:uid="{BE149C9C-3E85-4F6E-B336-6F7123BBA69F}"/>
    <cellStyle name="Currency 5 2 6" xfId="2243" xr:uid="{883A664D-583D-4C69-8A0E-810A49568220}"/>
    <cellStyle name="Currency 5 2 6 2" xfId="5628" xr:uid="{D103791D-8D74-4063-815D-35A9B9626CD0}"/>
    <cellStyle name="Currency 5 2 6 3" xfId="8820" xr:uid="{F6BAD148-EC2C-4EFB-BEB1-28F8AB1BEF51}"/>
    <cellStyle name="Currency 5 2 7" xfId="2479" xr:uid="{8A0C4C26-3B03-4723-ACB9-C7AD45BDB491}"/>
    <cellStyle name="Currency 5 2 7 2" xfId="5858" xr:uid="{8C776E74-A781-48FD-B68E-0D6C092F0215}"/>
    <cellStyle name="Currency 5 2 7 3" xfId="9050" xr:uid="{6D0934AE-93A8-4C2E-ACCE-8590EB4F516F}"/>
    <cellStyle name="Currency 5 2 8" xfId="2721" xr:uid="{8E959D9C-98BE-4367-831C-FAE998856E05}"/>
    <cellStyle name="Currency 5 2 8 2" xfId="6089" xr:uid="{8304AE60-1604-459E-9987-C162FD455FD1}"/>
    <cellStyle name="Currency 5 2 8 3" xfId="9280" xr:uid="{56C70378-FA1B-40E2-925B-A185E3EDB969}"/>
    <cellStyle name="Currency 5 2 9" xfId="2954" xr:uid="{6A900E2C-E682-4114-AA88-C814353A2B93}"/>
    <cellStyle name="Currency 5 2 9 2" xfId="6322" xr:uid="{0BBC53CC-251A-473B-A60D-275635DA1A56}"/>
    <cellStyle name="Currency 5 2 9 3" xfId="9510" xr:uid="{235CF161-18CD-454A-B91E-74D4F7D88F63}"/>
    <cellStyle name="Currency 5 20" xfId="11353" xr:uid="{4A6E4076-3DEC-4D35-956E-2C3DA1A7197D}"/>
    <cellStyle name="Currency 5 21" xfId="11243" xr:uid="{B837F88B-81B0-4C52-AB96-E0D74F5B2B87}"/>
    <cellStyle name="Currency 5 22" xfId="11862" xr:uid="{17DE6E0E-B5DC-4E6C-9AFB-75D01F4DAF7D}"/>
    <cellStyle name="Currency 5 23" xfId="12063" xr:uid="{78B86357-347A-490B-8717-5CDCB078B071}"/>
    <cellStyle name="Currency 5 24" xfId="12414" xr:uid="{39E0ED0C-ECA8-494A-ADE5-C37449BBFDEA}"/>
    <cellStyle name="Currency 5 25" xfId="12482" xr:uid="{D120D675-526B-4160-8710-C60996580647}"/>
    <cellStyle name="Currency 5 26" xfId="12361" xr:uid="{BC5BB3B5-FAA3-4565-88BF-15517A4DE649}"/>
    <cellStyle name="Currency 5 27" xfId="13108" xr:uid="{BACFAB98-834B-459A-A8EC-34ACF06C25F3}"/>
    <cellStyle name="Currency 5 28" xfId="13157" xr:uid="{B79328CE-0BB2-4ADE-8E5D-D4F52909886D}"/>
    <cellStyle name="Currency 5 3" xfId="1295" xr:uid="{00000000-0005-0000-0000-0000E7010000}"/>
    <cellStyle name="Currency 5 3 2" xfId="3406" xr:uid="{035EFC4E-0C30-47A5-88C9-C96801F7CA70}"/>
    <cellStyle name="Currency 5 3 3" xfId="4712" xr:uid="{C31B8FE8-BCDE-4844-A31A-AE9EB6BC4318}"/>
    <cellStyle name="Currency 5 3 4" xfId="7925" xr:uid="{66967D78-B399-42CF-BCF5-66BB3A44602D}"/>
    <cellStyle name="Currency 5 4" xfId="1481" xr:uid="{00000000-0005-0000-0000-0000E8010000}"/>
    <cellStyle name="Currency 5 4 2" xfId="3591" xr:uid="{56A39319-2D2E-49FA-B828-28F0A70C84A4}"/>
    <cellStyle name="Currency 5 4 3" xfId="4897" xr:uid="{9EA2744A-C284-4220-ACBC-B3ADC801D1D0}"/>
    <cellStyle name="Currency 5 4 4" xfId="8107" xr:uid="{E4727B22-FE84-4B7C-B145-D072E225B4EE}"/>
    <cellStyle name="Currency 5 5" xfId="1727" xr:uid="{00000000-0005-0000-0000-0000E9010000}"/>
    <cellStyle name="Currency 5 5 2" xfId="3828" xr:uid="{9D8B3161-BA81-4368-B7E8-26D9B2B85C5F}"/>
    <cellStyle name="Currency 5 5 3" xfId="5148" xr:uid="{DD729BB1-0E42-4B04-83A5-A38FDF0CA121}"/>
    <cellStyle name="Currency 5 5 4" xfId="8347" xr:uid="{6066A370-D5D9-44E0-B7F0-0186E0ABD360}"/>
    <cellStyle name="Currency 5 6" xfId="1987" xr:uid="{00000000-0005-0000-0000-0000EA010000}"/>
    <cellStyle name="Currency 5 6 2" xfId="4092" xr:uid="{38E287E8-89C4-4B43-A400-CDDE3E9B600A}"/>
    <cellStyle name="Currency 5 6 3" xfId="5391" xr:uid="{EE858C05-CCF6-47DA-A43B-E0221E94B359}"/>
    <cellStyle name="Currency 5 6 4" xfId="8583" xr:uid="{495EFBC9-79CD-4CBE-91DF-773CBD198707}"/>
    <cellStyle name="Currency 5 7" xfId="2242" xr:uid="{FE34F0E3-A86A-46CD-8504-0540F5536E5E}"/>
    <cellStyle name="Currency 5 7 2" xfId="5627" xr:uid="{46E41649-A739-4DDB-9407-09E199FC333D}"/>
    <cellStyle name="Currency 5 7 3" xfId="8819" xr:uid="{644F4E7E-265F-4B88-803E-37B4F0EC5779}"/>
    <cellStyle name="Currency 5 8" xfId="2478" xr:uid="{0ABD2BB9-21B3-4FAC-9E92-710B5D34499A}"/>
    <cellStyle name="Currency 5 8 2" xfId="5857" xr:uid="{83DBD279-13B6-43DD-992A-8894A5A31092}"/>
    <cellStyle name="Currency 5 8 3" xfId="9049" xr:uid="{95D413B6-C2CE-4775-9F59-2169DE2592F5}"/>
    <cellStyle name="Currency 5 9" xfId="2720" xr:uid="{0EB083BB-2B3E-4CCA-B210-C881035F18D5}"/>
    <cellStyle name="Currency 5 9 2" xfId="6088" xr:uid="{CF1F38CD-BFEC-430B-863A-4AFF58DC688E}"/>
    <cellStyle name="Currency 5 9 3" xfId="9279" xr:uid="{90C72CAC-8E05-4644-8EE9-2F9A35E635B8}"/>
    <cellStyle name="Currency 6" xfId="292" xr:uid="{00000000-0005-0000-0000-0000EB010000}"/>
    <cellStyle name="Currency 6 10" xfId="2955" xr:uid="{762F6369-BCFD-43BB-8410-F6F33B778322}"/>
    <cellStyle name="Currency 6 10 2" xfId="6323" xr:uid="{F602161C-FE67-4FA0-A7D4-FAF5F86C7D5F}"/>
    <cellStyle name="Currency 6 10 3" xfId="9511" xr:uid="{FA78751E-09C4-4B54-9091-F8A740E4E886}"/>
    <cellStyle name="Currency 6 11" xfId="3168" xr:uid="{A809A844-CBC0-4A54-9469-44605198DD7F}"/>
    <cellStyle name="Currency 6 11 2" xfId="6569" xr:uid="{C6A755F5-47F4-4B3B-A262-984DFB39258E}"/>
    <cellStyle name="Currency 6 11 3" xfId="9752" xr:uid="{241D6F26-17B5-4A6A-8E20-3CC23DC27A4B}"/>
    <cellStyle name="Currency 6 12" xfId="6830" xr:uid="{3CA51E87-7C9C-42E6-B695-A22E210D8A15}"/>
    <cellStyle name="Currency 6 12 2" xfId="9994" xr:uid="{AF8164E0-7C44-47EA-958A-8721A69B4352}"/>
    <cellStyle name="Currency 6 13" xfId="7125" xr:uid="{1A3290C6-DA40-4603-8F4F-26AE4A1ECB98}"/>
    <cellStyle name="Currency 6 13 2" xfId="10267" xr:uid="{58F5D191-E597-4229-907F-181C84040006}"/>
    <cellStyle name="Currency 6 14" xfId="7368" xr:uid="{F0B9FFDD-20C6-4A56-A135-2FEC5C3BDF90}"/>
    <cellStyle name="Currency 6 14 2" xfId="10506" xr:uid="{2941E8AE-3191-4A06-9633-80638EF752B9}"/>
    <cellStyle name="Currency 6 15" xfId="7410" xr:uid="{A5B8B476-4464-41F6-AE1F-D4E5F173DC0A}"/>
    <cellStyle name="Currency 6 15 2" xfId="10545" xr:uid="{C4EB0AB6-2C54-4584-8C6A-2CE923008411}"/>
    <cellStyle name="Currency 6 16" xfId="4399" xr:uid="{73356E2A-D59A-4650-B08D-1C047F372B14}"/>
    <cellStyle name="Currency 6 17" xfId="4438" xr:uid="{CB755236-E1CF-434D-80DC-B032B2A729E9}"/>
    <cellStyle name="Currency 6 18" xfId="10973" xr:uid="{148E98D8-889B-4B10-9BBE-19F38470E428}"/>
    <cellStyle name="Currency 6 19" xfId="11304" xr:uid="{F8D31FF2-7A66-4707-95D9-2BF4152381DE}"/>
    <cellStyle name="Currency 6 2" xfId="293" xr:uid="{00000000-0005-0000-0000-0000EC010000}"/>
    <cellStyle name="Currency 6 2 10" xfId="3169" xr:uid="{EFB98BBE-EDC5-4C26-AFB2-11C164AF2A67}"/>
    <cellStyle name="Currency 6 2 10 2" xfId="6570" xr:uid="{5D2ABF54-FD1C-48AA-A948-76D73B564CE7}"/>
    <cellStyle name="Currency 6 2 10 3" xfId="9753" xr:uid="{646C8A4E-047D-48CC-80BB-49E52A92617E}"/>
    <cellStyle name="Currency 6 2 11" xfId="6831" xr:uid="{A5591771-F30A-4EB1-B040-6F226CE57D0C}"/>
    <cellStyle name="Currency 6 2 11 2" xfId="9995" xr:uid="{011DAA84-6053-44A5-B81A-24D237880750}"/>
    <cellStyle name="Currency 6 2 12" xfId="7126" xr:uid="{3FE2422C-F08C-4787-8AA6-9210EBC7227F}"/>
    <cellStyle name="Currency 6 2 12 2" xfId="10268" xr:uid="{49565812-86A5-461A-BB29-82D3E9B0C04D}"/>
    <cellStyle name="Currency 6 2 13" xfId="7369" xr:uid="{7F44DA12-C265-4219-8766-797755BA76B6}"/>
    <cellStyle name="Currency 6 2 13 2" xfId="10507" xr:uid="{91F4922E-6B58-49E6-82C8-008C91EFD7CC}"/>
    <cellStyle name="Currency 6 2 14" xfId="7409" xr:uid="{7616FFC2-0285-45EC-8CEF-D8C18923BCB5}"/>
    <cellStyle name="Currency 6 2 14 2" xfId="10544" xr:uid="{F7213CB7-91BF-4125-82C9-42BD169B6CD6}"/>
    <cellStyle name="Currency 6 2 15" xfId="4400" xr:uid="{A54FE61C-E494-4FF8-8FC7-BEB72F9F0D59}"/>
    <cellStyle name="Currency 6 2 16" xfId="4437" xr:uid="{70013B87-D055-4746-B584-E32EE2B290A0}"/>
    <cellStyle name="Currency 6 2 17" xfId="10974" xr:uid="{2CEF1480-6F41-4333-AB64-B30627B490BE}"/>
    <cellStyle name="Currency 6 2 18" xfId="11305" xr:uid="{FED98525-8796-46FD-A715-57B09F9C29FD}"/>
    <cellStyle name="Currency 6 2 19" xfId="11350" xr:uid="{79CF10C7-FF2E-431A-8B5C-4192F0BFB187}"/>
    <cellStyle name="Currency 6 2 2" xfId="1298" xr:uid="{00000000-0005-0000-0000-0000ED010000}"/>
    <cellStyle name="Currency 6 2 2 2" xfId="3409" xr:uid="{044FD2E1-3D55-4DE4-8AF5-5F66C393272D}"/>
    <cellStyle name="Currency 6 2 2 3" xfId="4715" xr:uid="{13D8D83B-7C56-40EF-A298-4C185221EF40}"/>
    <cellStyle name="Currency 6 2 2 4" xfId="7928" xr:uid="{2956CAEB-045A-47CB-9D05-F60E1DB9FB84}"/>
    <cellStyle name="Currency 6 2 20" xfId="11246" xr:uid="{4C33D103-0D58-42BA-80F0-5A3608D03C47}"/>
    <cellStyle name="Currency 6 2 21" xfId="11865" xr:uid="{6E3B285D-E46E-4552-A7A7-E860647D8A22}"/>
    <cellStyle name="Currency 6 2 22" xfId="12066" xr:uid="{0530FBCB-063F-4BB7-A7E6-8D5EB3010D69}"/>
    <cellStyle name="Currency 6 2 23" xfId="12417" xr:uid="{AFB023AF-8CDE-4C98-9D8A-85DA1D4CBF32}"/>
    <cellStyle name="Currency 6 2 24" xfId="12479" xr:uid="{42524135-36A0-44C1-9CBA-DF9584A1B7C1}"/>
    <cellStyle name="Currency 6 2 25" xfId="12364" xr:uid="{A73A6964-D1F2-4041-AC19-5523647E6931}"/>
    <cellStyle name="Currency 6 2 26" xfId="13111" xr:uid="{38A2C6FD-A7D2-4DF0-9136-912803F74EED}"/>
    <cellStyle name="Currency 6 2 27" xfId="13154" xr:uid="{EB10A01A-A315-4525-9A01-150D26167CC8}"/>
    <cellStyle name="Currency 6 2 3" xfId="1484" xr:uid="{00000000-0005-0000-0000-0000EE010000}"/>
    <cellStyle name="Currency 6 2 3 2" xfId="3594" xr:uid="{4FB9F416-6334-4594-9EDC-3950E17845E1}"/>
    <cellStyle name="Currency 6 2 3 3" xfId="4900" xr:uid="{F2742574-4C16-4536-B7C5-D7AAF727F4DC}"/>
    <cellStyle name="Currency 6 2 3 4" xfId="8110" xr:uid="{3E3BBB5F-47A1-490C-BF72-45E308E6BEFA}"/>
    <cellStyle name="Currency 6 2 4" xfId="1730" xr:uid="{00000000-0005-0000-0000-0000EF010000}"/>
    <cellStyle name="Currency 6 2 4 2" xfId="3831" xr:uid="{1B3C7FF4-F2F3-47F4-9F95-1244A16E8016}"/>
    <cellStyle name="Currency 6 2 4 3" xfId="5151" xr:uid="{68A14069-73A0-4B45-B829-D0F8019931F1}"/>
    <cellStyle name="Currency 6 2 4 4" xfId="8350" xr:uid="{A7933FE1-1915-4978-9966-68606C6923CA}"/>
    <cellStyle name="Currency 6 2 5" xfId="1990" xr:uid="{00000000-0005-0000-0000-0000F0010000}"/>
    <cellStyle name="Currency 6 2 5 2" xfId="4095" xr:uid="{E23D6A60-7F38-4327-AB1B-D58BB0085667}"/>
    <cellStyle name="Currency 6 2 5 3" xfId="5394" xr:uid="{5749F958-E12E-4CDF-AD3C-491390EE88A2}"/>
    <cellStyle name="Currency 6 2 5 4" xfId="8586" xr:uid="{CC91148A-E7DD-4014-B782-D0E8B9F5BC57}"/>
    <cellStyle name="Currency 6 2 6" xfId="2245" xr:uid="{59A5B55B-603C-45CC-A173-90FB57C4E47C}"/>
    <cellStyle name="Currency 6 2 6 2" xfId="5630" xr:uid="{EE119C05-2764-45D6-9D92-BEA8D42B5160}"/>
    <cellStyle name="Currency 6 2 6 3" xfId="8822" xr:uid="{56FDD51C-0C29-48FE-A1B9-A9555C176111}"/>
    <cellStyle name="Currency 6 2 7" xfId="2481" xr:uid="{67527607-F637-455C-A73D-B7A414A00E35}"/>
    <cellStyle name="Currency 6 2 7 2" xfId="5860" xr:uid="{EE763330-F729-49AD-BED1-828F7DDFE6BA}"/>
    <cellStyle name="Currency 6 2 7 3" xfId="9052" xr:uid="{A2A7D8DB-79D8-45E6-8D0C-4DEA17961095}"/>
    <cellStyle name="Currency 6 2 8" xfId="2723" xr:uid="{37D778F9-AECE-4E0A-A77B-361FCA40B5C0}"/>
    <cellStyle name="Currency 6 2 8 2" xfId="6091" xr:uid="{D7449CAC-A0B0-4E52-AC85-52F1F64FCA51}"/>
    <cellStyle name="Currency 6 2 8 3" xfId="9282" xr:uid="{AF743CFE-4DEF-437B-83DA-C692FF4C4DD8}"/>
    <cellStyle name="Currency 6 2 9" xfId="2956" xr:uid="{2E9620B2-BA12-4A81-90CF-CEC86CFEF063}"/>
    <cellStyle name="Currency 6 2 9 2" xfId="6324" xr:uid="{B8601FEB-B85B-45A8-8BA8-1EDBEECDDD70}"/>
    <cellStyle name="Currency 6 2 9 3" xfId="9512" xr:uid="{7F99ACA2-6511-4228-B97B-16C5A3269D21}"/>
    <cellStyle name="Currency 6 20" xfId="11351" xr:uid="{26FFFDFA-9CB2-4CC6-BF02-27E6CF7E0D2A}"/>
    <cellStyle name="Currency 6 21" xfId="11245" xr:uid="{F6699E74-50AA-4EC7-AEC1-7C3110EC8521}"/>
    <cellStyle name="Currency 6 22" xfId="11864" xr:uid="{C27A5683-242D-4D12-A1ED-73053E61F5F2}"/>
    <cellStyle name="Currency 6 23" xfId="12065" xr:uid="{475E1478-1AB9-4F16-893F-654FF57503AA}"/>
    <cellStyle name="Currency 6 24" xfId="12416" xr:uid="{F89D023E-E709-4C70-8147-E71522457BD6}"/>
    <cellStyle name="Currency 6 25" xfId="12480" xr:uid="{120200C5-C14C-4F48-8B1B-EE59A09D227A}"/>
    <cellStyle name="Currency 6 26" xfId="12363" xr:uid="{F242D3CC-AE66-4DF4-A0C5-87E42583675C}"/>
    <cellStyle name="Currency 6 27" xfId="13110" xr:uid="{852414DD-E94B-48E7-BDBB-F0117FB43BBE}"/>
    <cellStyle name="Currency 6 28" xfId="13155" xr:uid="{DC61931C-7B9B-4052-9BCC-208590234023}"/>
    <cellStyle name="Currency 6 3" xfId="1297" xr:uid="{00000000-0005-0000-0000-0000F1010000}"/>
    <cellStyle name="Currency 6 3 2" xfId="3408" xr:uid="{0418B395-AABD-4334-9FCA-2F5136E55A1D}"/>
    <cellStyle name="Currency 6 3 3" xfId="4714" xr:uid="{DD1175F3-47DA-42CB-93F8-BCEF99C69342}"/>
    <cellStyle name="Currency 6 3 4" xfId="7927" xr:uid="{CCBED4AA-E59B-4A1D-AEA3-CDFB52034C21}"/>
    <cellStyle name="Currency 6 4" xfId="1483" xr:uid="{00000000-0005-0000-0000-0000F2010000}"/>
    <cellStyle name="Currency 6 4 2" xfId="3593" xr:uid="{A77DC824-40DB-4D17-A5CF-9377B48B4AF6}"/>
    <cellStyle name="Currency 6 4 3" xfId="4899" xr:uid="{9A56D3B9-9F12-4735-8AEB-E4F59ABD5C36}"/>
    <cellStyle name="Currency 6 4 4" xfId="8109" xr:uid="{2062CA6B-6A07-4FB3-BE4F-1529B3F19E4A}"/>
    <cellStyle name="Currency 6 5" xfId="1729" xr:uid="{00000000-0005-0000-0000-0000F3010000}"/>
    <cellStyle name="Currency 6 5 2" xfId="3830" xr:uid="{CE038BF1-CB6C-4CA8-A057-68D5C74B2126}"/>
    <cellStyle name="Currency 6 5 3" xfId="5150" xr:uid="{0F45BE45-70AB-4804-94F8-8DD322D54A7C}"/>
    <cellStyle name="Currency 6 5 4" xfId="8349" xr:uid="{72E70938-C6FC-46E0-9199-E0DC669F1FE0}"/>
    <cellStyle name="Currency 6 6" xfId="1989" xr:uid="{00000000-0005-0000-0000-0000F4010000}"/>
    <cellStyle name="Currency 6 6 2" xfId="4094" xr:uid="{916789F6-CA6D-4D06-A856-0A37ABEC7525}"/>
    <cellStyle name="Currency 6 6 3" xfId="5393" xr:uid="{B753B284-6570-4E60-A6CB-0B8B75A20A63}"/>
    <cellStyle name="Currency 6 6 4" xfId="8585" xr:uid="{199F39E0-5B93-432D-BA79-6FC24A2EA84C}"/>
    <cellStyle name="Currency 6 7" xfId="2244" xr:uid="{B2B5D73D-58BE-4F3D-8741-6458D754224E}"/>
    <cellStyle name="Currency 6 7 2" xfId="5629" xr:uid="{1A77004F-5A01-4585-B511-1A7FDA915216}"/>
    <cellStyle name="Currency 6 7 3" xfId="8821" xr:uid="{54D0EBCA-7563-4B12-B047-28818F12F59D}"/>
    <cellStyle name="Currency 6 8" xfId="2480" xr:uid="{20BBB32C-FCE9-4F9C-A06D-B45DA7B2B2E3}"/>
    <cellStyle name="Currency 6 8 2" xfId="5859" xr:uid="{438D8084-3BD4-4FB7-887E-EE76CB2B7AB6}"/>
    <cellStyle name="Currency 6 8 3" xfId="9051" xr:uid="{35EEC6AF-9D3F-462F-A906-CF3E673CE76A}"/>
    <cellStyle name="Currency 6 9" xfId="2722" xr:uid="{917C0CC8-0878-425A-8F57-88949AD24FDB}"/>
    <cellStyle name="Currency 6 9 2" xfId="6090" xr:uid="{2104FB7F-E752-424A-B660-0C621A3E0D3D}"/>
    <cellStyle name="Currency 6 9 3" xfId="9281" xr:uid="{B87E5563-633C-45AC-B2C8-273D15D9984C}"/>
    <cellStyle name="Currency 7" xfId="294" xr:uid="{00000000-0005-0000-0000-0000F5010000}"/>
    <cellStyle name="Currency 7 10" xfId="2957" xr:uid="{12D2E494-9B21-45EA-81B2-1467DA3A63C7}"/>
    <cellStyle name="Currency 7 10 2" xfId="6325" xr:uid="{1BE7FEBD-F462-4E08-BEF3-A83AFE2FFAB1}"/>
    <cellStyle name="Currency 7 10 3" xfId="9513" xr:uid="{0C9941D4-D408-4196-97F1-57A05A504F6C}"/>
    <cellStyle name="Currency 7 11" xfId="3170" xr:uid="{384BEA83-0EA6-48B2-8045-3A3439B8054A}"/>
    <cellStyle name="Currency 7 11 2" xfId="6571" xr:uid="{0EAF7760-DD1E-4F66-9658-78EF4D333218}"/>
    <cellStyle name="Currency 7 11 3" xfId="9754" xr:uid="{B9F01540-41FE-4978-BE6B-CBD79047A468}"/>
    <cellStyle name="Currency 7 12" xfId="6832" xr:uid="{30442206-6FE4-4EAC-B000-669E33088676}"/>
    <cellStyle name="Currency 7 12 2" xfId="9996" xr:uid="{A685A5F0-59D0-45BB-9921-049CB09B976C}"/>
    <cellStyle name="Currency 7 13" xfId="7127" xr:uid="{7B905EF4-D2E3-4520-B5EB-D5F07D7F670D}"/>
    <cellStyle name="Currency 7 13 2" xfId="10269" xr:uid="{C830628A-91FC-4D79-8750-6C27AC862A2E}"/>
    <cellStyle name="Currency 7 14" xfId="7370" xr:uid="{B385F389-DB1A-4FF9-BAE1-2B34045139CD}"/>
    <cellStyle name="Currency 7 14 2" xfId="10508" xr:uid="{96645046-1BBE-4A6E-8982-35222D8487D8}"/>
    <cellStyle name="Currency 7 15" xfId="7408" xr:uid="{42EEFF6A-442C-4CD0-A1E3-F2431C182597}"/>
    <cellStyle name="Currency 7 15 2" xfId="10543" xr:uid="{2A2E9D5A-14BB-41F0-88CC-277FD1F248DF}"/>
    <cellStyle name="Currency 7 16" xfId="4401" xr:uid="{096ACA2D-3D8F-4FA7-8B5F-83B02898B617}"/>
    <cellStyle name="Currency 7 17" xfId="4436" xr:uid="{E9AAC620-BB05-4F0C-AB50-838A0639E644}"/>
    <cellStyle name="Currency 7 18" xfId="10975" xr:uid="{F6127C0D-58E5-4547-839E-17AFE0C3E393}"/>
    <cellStyle name="Currency 7 19" xfId="11306" xr:uid="{B2289CF3-6634-4099-BAE5-7B893414CF53}"/>
    <cellStyle name="Currency 7 2" xfId="295" xr:uid="{00000000-0005-0000-0000-0000F6010000}"/>
    <cellStyle name="Currency 7 2 10" xfId="3171" xr:uid="{F0BDC0A7-ED49-4D9E-9487-3F6B61F874C1}"/>
    <cellStyle name="Currency 7 2 10 2" xfId="6572" xr:uid="{D2B8CFEE-E6ED-4F04-AA53-592A5FF08C63}"/>
    <cellStyle name="Currency 7 2 10 3" xfId="9755" xr:uid="{2921314A-572A-4876-957C-63FB6C5230C0}"/>
    <cellStyle name="Currency 7 2 11" xfId="6833" xr:uid="{047C9713-DBDA-4EC4-9C7C-81004F1ED401}"/>
    <cellStyle name="Currency 7 2 11 2" xfId="9997" xr:uid="{D9E30B9E-23F7-452C-8FD3-938160892778}"/>
    <cellStyle name="Currency 7 2 12" xfId="7128" xr:uid="{2B1C2B75-568B-44C5-977B-7BF5F70C65EB}"/>
    <cellStyle name="Currency 7 2 12 2" xfId="10270" xr:uid="{75729A7D-3274-4FBA-8B34-27C9E8192E12}"/>
    <cellStyle name="Currency 7 2 13" xfId="7371" xr:uid="{9065094E-E7CF-45D8-BC42-BE1B03C02BBB}"/>
    <cellStyle name="Currency 7 2 13 2" xfId="10509" xr:uid="{AC39EA67-D46E-4219-943F-76EBD881D5FF}"/>
    <cellStyle name="Currency 7 2 14" xfId="7407" xr:uid="{39849707-3EFB-441B-AE0E-42F9C3A052C5}"/>
    <cellStyle name="Currency 7 2 14 2" xfId="10542" xr:uid="{4EBA281E-4F5B-43AF-9B42-3A84FF6851EC}"/>
    <cellStyle name="Currency 7 2 15" xfId="4402" xr:uid="{F1A8F795-953E-4EFD-B039-929DE196EDC0}"/>
    <cellStyle name="Currency 7 2 16" xfId="4435" xr:uid="{83681EA7-D237-4BDC-B120-4FB9546893AF}"/>
    <cellStyle name="Currency 7 2 17" xfId="10976" xr:uid="{501BF7D4-7822-409F-9715-FF7BA605BD22}"/>
    <cellStyle name="Currency 7 2 18" xfId="11307" xr:uid="{C862455D-4E22-4071-9A53-72B43D12CB2E}"/>
    <cellStyle name="Currency 7 2 19" xfId="11348" xr:uid="{B66A90B5-CBE0-4A41-9D02-BCF29F2BF40D}"/>
    <cellStyle name="Currency 7 2 2" xfId="1300" xr:uid="{00000000-0005-0000-0000-0000F7010000}"/>
    <cellStyle name="Currency 7 2 2 2" xfId="3411" xr:uid="{1540B760-0A99-4B9E-B8B5-A5003B73684E}"/>
    <cellStyle name="Currency 7 2 2 3" xfId="4717" xr:uid="{0953967D-CD5E-4273-8A5E-DFD283535630}"/>
    <cellStyle name="Currency 7 2 2 4" xfId="7930" xr:uid="{4666C86C-1B93-4EEE-B34A-EF4D129A9324}"/>
    <cellStyle name="Currency 7 2 20" xfId="11248" xr:uid="{BAC3CDAE-C18F-4275-858A-7C4513540FFD}"/>
    <cellStyle name="Currency 7 2 21" xfId="11867" xr:uid="{A1975FB4-2ABB-458C-9708-FC047D2408BB}"/>
    <cellStyle name="Currency 7 2 22" xfId="12068" xr:uid="{BE362A9F-FE2C-4F9A-9F07-162BBBE62ECE}"/>
    <cellStyle name="Currency 7 2 23" xfId="12419" xr:uid="{635397B2-BA42-44D6-9311-2B8117517CE6}"/>
    <cellStyle name="Currency 7 2 24" xfId="12477" xr:uid="{01FC7312-A101-4B13-B68F-CB43E1293979}"/>
    <cellStyle name="Currency 7 2 25" xfId="12429" xr:uid="{0D09C1E5-DC98-4D25-84BB-1AD5356026D0}"/>
    <cellStyle name="Currency 7 2 26" xfId="13113" xr:uid="{512C4FD1-35B8-43B4-9B32-7B1AF915D7BD}"/>
    <cellStyle name="Currency 7 2 27" xfId="13152" xr:uid="{28AF0D37-CA2B-4ACD-B94B-02E8676DCFB6}"/>
    <cellStyle name="Currency 7 2 3" xfId="1486" xr:uid="{00000000-0005-0000-0000-0000F8010000}"/>
    <cellStyle name="Currency 7 2 3 2" xfId="3596" xr:uid="{C62ECC2B-4186-4A02-9C6D-5B4CB7B61188}"/>
    <cellStyle name="Currency 7 2 3 3" xfId="4902" xr:uid="{14B8ACE2-E125-43C2-8E03-FC79C8970D8D}"/>
    <cellStyle name="Currency 7 2 3 4" xfId="8112" xr:uid="{CB8192C1-C744-43E9-A9D4-FDAB53B35475}"/>
    <cellStyle name="Currency 7 2 4" xfId="1732" xr:uid="{00000000-0005-0000-0000-0000F9010000}"/>
    <cellStyle name="Currency 7 2 4 2" xfId="3833" xr:uid="{C6D58301-066F-45CC-BCB1-13D8F902E53D}"/>
    <cellStyle name="Currency 7 2 4 3" xfId="5153" xr:uid="{61BA3C4B-6683-4284-9093-2039961582F4}"/>
    <cellStyle name="Currency 7 2 4 4" xfId="8352" xr:uid="{7CABA719-6E19-4474-AE83-6F30CE7EF730}"/>
    <cellStyle name="Currency 7 2 5" xfId="1992" xr:uid="{00000000-0005-0000-0000-0000FA010000}"/>
    <cellStyle name="Currency 7 2 5 2" xfId="4097" xr:uid="{B8FEDA21-EE30-4403-9391-5581AB2E94A4}"/>
    <cellStyle name="Currency 7 2 5 3" xfId="5396" xr:uid="{D10D7E31-AC16-4A5A-B689-35A3B0C07753}"/>
    <cellStyle name="Currency 7 2 5 4" xfId="8588" xr:uid="{FB6FEA3A-3DE5-41E5-BAA7-B3F54B3361B9}"/>
    <cellStyle name="Currency 7 2 6" xfId="2247" xr:uid="{F62450B2-6337-4979-9BDD-B4FE8FB5B5D5}"/>
    <cellStyle name="Currency 7 2 6 2" xfId="5632" xr:uid="{A9E65BB3-1C57-4B3E-97C1-1914970BB3FC}"/>
    <cellStyle name="Currency 7 2 6 3" xfId="8824" xr:uid="{94A1F02A-49CF-49C7-8CE1-E9A5367C879B}"/>
    <cellStyle name="Currency 7 2 7" xfId="2483" xr:uid="{ED535CF7-5E6B-476C-8A14-E64F8171FE7D}"/>
    <cellStyle name="Currency 7 2 7 2" xfId="5862" xr:uid="{D281DF41-B228-48D8-A92A-E3881678150B}"/>
    <cellStyle name="Currency 7 2 7 3" xfId="9054" xr:uid="{64D50B91-CC78-4B0C-A0F7-40582C949E36}"/>
    <cellStyle name="Currency 7 2 8" xfId="2725" xr:uid="{825013E4-986F-4B39-B8A1-B98C41E71000}"/>
    <cellStyle name="Currency 7 2 8 2" xfId="6093" xr:uid="{C87E85C1-E348-4F7B-8950-93F263A81061}"/>
    <cellStyle name="Currency 7 2 8 3" xfId="9284" xr:uid="{A79E25E8-8200-405E-99BF-E0EB88097C9A}"/>
    <cellStyle name="Currency 7 2 9" xfId="2958" xr:uid="{EE386473-3D53-40E7-901F-E8C6DB67AEC4}"/>
    <cellStyle name="Currency 7 2 9 2" xfId="6326" xr:uid="{87247826-5AA5-4253-864B-90458F8DF2DC}"/>
    <cellStyle name="Currency 7 2 9 3" xfId="9514" xr:uid="{BC475A4D-E3A9-4246-887A-8D3BD47BED7B}"/>
    <cellStyle name="Currency 7 20" xfId="11349" xr:uid="{EFF6E24E-1658-4095-98B2-50AA2E38D445}"/>
    <cellStyle name="Currency 7 21" xfId="11247" xr:uid="{286F40B6-47E3-4600-AF57-847ED5311974}"/>
    <cellStyle name="Currency 7 22" xfId="11866" xr:uid="{F8094767-BF6F-49C4-ADA3-BB90689A43B7}"/>
    <cellStyle name="Currency 7 23" xfId="12067" xr:uid="{735C4988-8231-404D-B422-22BFCBDDDA43}"/>
    <cellStyle name="Currency 7 24" xfId="12418" xr:uid="{4684FBF3-AA76-4555-B8AF-FF897FF3E93D}"/>
    <cellStyle name="Currency 7 25" xfId="12478" xr:uid="{902ADE29-CF01-4281-AA95-C983C11E3E3E}"/>
    <cellStyle name="Currency 7 26" xfId="12428" xr:uid="{34E3CD80-A137-420D-BBDA-6832B36E42E2}"/>
    <cellStyle name="Currency 7 27" xfId="13112" xr:uid="{6E38391A-9D9A-4E7F-9525-C763176D95FD}"/>
    <cellStyle name="Currency 7 28" xfId="13153" xr:uid="{CBC20494-2CA5-46B8-ACDF-4E31A08A6944}"/>
    <cellStyle name="Currency 7 3" xfId="1299" xr:uid="{00000000-0005-0000-0000-0000FB010000}"/>
    <cellStyle name="Currency 7 3 2" xfId="3410" xr:uid="{F8E28486-A1E9-421A-B2A9-6E9EA7275182}"/>
    <cellStyle name="Currency 7 3 3" xfId="4716" xr:uid="{7229E31E-043E-4DDD-A66A-0B2782B39F32}"/>
    <cellStyle name="Currency 7 3 4" xfId="7929" xr:uid="{2BB990CC-7221-42E7-A863-2054B60C7D87}"/>
    <cellStyle name="Currency 7 4" xfId="1485" xr:uid="{00000000-0005-0000-0000-0000FC010000}"/>
    <cellStyle name="Currency 7 4 2" xfId="3595" xr:uid="{47FE8F4E-05F8-4389-9C20-9117FA4F1032}"/>
    <cellStyle name="Currency 7 4 3" xfId="4901" xr:uid="{B2705AA6-3497-49EE-A95E-5CA3B8CB3956}"/>
    <cellStyle name="Currency 7 4 4" xfId="8111" xr:uid="{F809F2F7-870A-4612-A90F-22132D643881}"/>
    <cellStyle name="Currency 7 5" xfId="1731" xr:uid="{00000000-0005-0000-0000-0000FD010000}"/>
    <cellStyle name="Currency 7 5 2" xfId="3832" xr:uid="{9E4E2249-0AD3-48B1-B815-6BC4919B9475}"/>
    <cellStyle name="Currency 7 5 3" xfId="5152" xr:uid="{624C195B-9F34-4B63-BC31-4420881E09C9}"/>
    <cellStyle name="Currency 7 5 4" xfId="8351" xr:uid="{6A4ADFC1-AC3F-4585-9598-C3A9533AFA66}"/>
    <cellStyle name="Currency 7 6" xfId="1991" xr:uid="{00000000-0005-0000-0000-0000FE010000}"/>
    <cellStyle name="Currency 7 6 2" xfId="4096" xr:uid="{C34A10D1-33B5-4379-8AD9-9D484572CB54}"/>
    <cellStyle name="Currency 7 6 3" xfId="5395" xr:uid="{BA56EE1F-6BF1-46C3-BA8A-EB46EBC85E06}"/>
    <cellStyle name="Currency 7 6 4" xfId="8587" xr:uid="{12ECB2BE-7AC4-415C-8174-5D1ACD7B1FC8}"/>
    <cellStyle name="Currency 7 7" xfId="2246" xr:uid="{B126787A-0129-4EC8-8501-4A75F1B2D33D}"/>
    <cellStyle name="Currency 7 7 2" xfId="5631" xr:uid="{612ED04A-D8F3-4797-9D9A-9E6AFB3534FF}"/>
    <cellStyle name="Currency 7 7 3" xfId="8823" xr:uid="{3F79FD69-7AD4-46C2-A77C-FAA4923AC377}"/>
    <cellStyle name="Currency 7 8" xfId="2482" xr:uid="{EAB0BDA8-8791-4E25-BB85-C5B079424783}"/>
    <cellStyle name="Currency 7 8 2" xfId="5861" xr:uid="{643C86CB-F312-4AEE-8AB0-F41E3D518668}"/>
    <cellStyle name="Currency 7 8 3" xfId="9053" xr:uid="{5ED6668B-1933-41D5-ABFE-866A45A6508A}"/>
    <cellStyle name="Currency 7 9" xfId="2724" xr:uid="{376B9CB9-A131-4D27-B0D3-C7ED1596DAAC}"/>
    <cellStyle name="Currency 7 9 2" xfId="6092" xr:uid="{4A4BBE63-991F-415F-8E23-68A2B01C36B7}"/>
    <cellStyle name="Currency 7 9 3" xfId="9283" xr:uid="{9CFE5625-8E4A-41C8-A071-E7EE6FE24CF8}"/>
    <cellStyle name="Currency 8" xfId="296" xr:uid="{00000000-0005-0000-0000-0000FF010000}"/>
    <cellStyle name="Currency 8 10" xfId="2959" xr:uid="{A42CB5FE-04A8-403A-BD7B-4C418E10557B}"/>
    <cellStyle name="Currency 8 10 2" xfId="6327" xr:uid="{A30434F6-1496-425F-9519-F8AFFD71AAF8}"/>
    <cellStyle name="Currency 8 10 3" xfId="9515" xr:uid="{C8751CD1-A961-4695-BBC7-F7E8639CAD73}"/>
    <cellStyle name="Currency 8 11" xfId="3172" xr:uid="{D9E9DE16-AE65-4BAD-9628-2D2BF150BD5C}"/>
    <cellStyle name="Currency 8 11 2" xfId="6573" xr:uid="{551612B8-13BB-4B60-AE9E-7BE590346D5C}"/>
    <cellStyle name="Currency 8 11 3" xfId="9756" xr:uid="{FB9CFBF5-23AD-42E2-802B-AFA306AF081D}"/>
    <cellStyle name="Currency 8 12" xfId="6834" xr:uid="{DE349711-3191-4949-9656-72D7CA85CB1D}"/>
    <cellStyle name="Currency 8 12 2" xfId="9998" xr:uid="{61ACD379-8966-465F-B463-307566D29AA5}"/>
    <cellStyle name="Currency 8 13" xfId="7129" xr:uid="{513E7F73-D9AF-45BF-9D12-BE8F44DB777E}"/>
    <cellStyle name="Currency 8 13 2" xfId="10271" xr:uid="{94BE82A0-1F18-4F08-8E0F-975FEAA9532D}"/>
    <cellStyle name="Currency 8 14" xfId="7372" xr:uid="{A0C78104-899F-4BD0-9E6C-D97C5EA63028}"/>
    <cellStyle name="Currency 8 14 2" xfId="10510" xr:uid="{40584D96-EADD-4AE4-92D6-64C4B1D185F0}"/>
    <cellStyle name="Currency 8 15" xfId="7406" xr:uid="{F1F7F7A2-D6DF-486B-B9A3-629434D4DF7C}"/>
    <cellStyle name="Currency 8 15 2" xfId="10541" xr:uid="{5B3AB9E8-8E85-4D32-AE61-0E66BC2272C1}"/>
    <cellStyle name="Currency 8 16" xfId="4403" xr:uid="{4AD6D5E6-964A-4987-A296-480BA7389FF2}"/>
    <cellStyle name="Currency 8 17" xfId="4434" xr:uid="{DD405BDD-2D88-42A8-8AC6-2AA2FC74CD31}"/>
    <cellStyle name="Currency 8 18" xfId="10977" xr:uid="{6A5BD786-7B3F-49DA-9774-F32A66F08F2A}"/>
    <cellStyle name="Currency 8 19" xfId="11308" xr:uid="{55B7F2CA-BF36-4F69-94A2-C3062615F29B}"/>
    <cellStyle name="Currency 8 2" xfId="297" xr:uid="{00000000-0005-0000-0000-000000020000}"/>
    <cellStyle name="Currency 8 2 10" xfId="3173" xr:uid="{65E64015-118F-4F02-8C05-404554DE95AB}"/>
    <cellStyle name="Currency 8 2 10 2" xfId="6574" xr:uid="{78842F6A-DB45-4970-BEA6-3E5FEF90000E}"/>
    <cellStyle name="Currency 8 2 10 3" xfId="9757" xr:uid="{4F91C2D2-4A40-4586-B53E-FF18B6642C70}"/>
    <cellStyle name="Currency 8 2 11" xfId="6835" xr:uid="{72F07098-BECC-4CC9-A192-B2E624F927ED}"/>
    <cellStyle name="Currency 8 2 11 2" xfId="9999" xr:uid="{1EC448E7-C1AC-4EFA-83DD-C84F86E1D616}"/>
    <cellStyle name="Currency 8 2 12" xfId="7130" xr:uid="{5560860A-AA67-4E40-9A17-DD1A56F1BAAC}"/>
    <cellStyle name="Currency 8 2 12 2" xfId="10272" xr:uid="{A5E93D66-A9D3-4FE8-8AE2-89D339994C4F}"/>
    <cellStyle name="Currency 8 2 13" xfId="7373" xr:uid="{376250F2-69CD-4B2C-942D-035101B705C9}"/>
    <cellStyle name="Currency 8 2 13 2" xfId="10511" xr:uid="{C851F95F-8A94-45A6-8A96-1D787717CDD4}"/>
    <cellStyle name="Currency 8 2 14" xfId="7405" xr:uid="{FFE9BEA9-FE87-49A7-80C3-A69F637F1A2F}"/>
    <cellStyle name="Currency 8 2 14 2" xfId="10540" xr:uid="{DB950182-1D59-4121-A4AC-D76EB3470F3F}"/>
    <cellStyle name="Currency 8 2 15" xfId="4404" xr:uid="{9C475D9E-D340-4963-BDA9-9128DFAF4C8C}"/>
    <cellStyle name="Currency 8 2 16" xfId="4433" xr:uid="{F9B7018E-B3DB-48E2-8B39-1FDED485AF14}"/>
    <cellStyle name="Currency 8 2 17" xfId="10978" xr:uid="{568801F2-8128-4050-A1C5-6E7CC9CD732B}"/>
    <cellStyle name="Currency 8 2 18" xfId="11309" xr:uid="{3FB36FB7-4E7D-4062-8378-72B4DCFE8F73}"/>
    <cellStyle name="Currency 8 2 19" xfId="11346" xr:uid="{98E64AC2-4678-4349-A403-68761DE0F862}"/>
    <cellStyle name="Currency 8 2 2" xfId="1302" xr:uid="{00000000-0005-0000-0000-000001020000}"/>
    <cellStyle name="Currency 8 2 2 2" xfId="3413" xr:uid="{EA88C42C-3150-4234-BC1E-8AF3009BA257}"/>
    <cellStyle name="Currency 8 2 2 3" xfId="4719" xr:uid="{8D79BCA9-12A8-499F-9ED7-5DB4572E1651}"/>
    <cellStyle name="Currency 8 2 2 4" xfId="7932" xr:uid="{EB1FC976-5976-46EE-9040-630661F59011}"/>
    <cellStyle name="Currency 8 2 20" xfId="11250" xr:uid="{488B8B84-8E57-441C-9BEC-6CCF7195425A}"/>
    <cellStyle name="Currency 8 2 21" xfId="11869" xr:uid="{EC062E8B-2DFD-46BD-BBD4-EA0267AAF32C}"/>
    <cellStyle name="Currency 8 2 22" xfId="12070" xr:uid="{E6C2242E-99FA-407E-841E-7C07569DD3F2}"/>
    <cellStyle name="Currency 8 2 23" xfId="12421" xr:uid="{AEAC8C5E-C809-46D8-AAD5-1590CA3191B4}"/>
    <cellStyle name="Currency 8 2 24" xfId="12475" xr:uid="{97CD76D4-D611-4530-B625-DD9D7BA6A541}"/>
    <cellStyle name="Currency 8 2 25" xfId="12431" xr:uid="{CA2C6DFE-09E4-49C0-99FF-5B04BA82435A}"/>
    <cellStyle name="Currency 8 2 26" xfId="13115" xr:uid="{63920F4E-97FD-43F6-B6DD-425D2515DC04}"/>
    <cellStyle name="Currency 8 2 27" xfId="13150" xr:uid="{AA7E16FD-CBDB-4A42-8C3F-9F3EBD37B00C}"/>
    <cellStyle name="Currency 8 2 3" xfId="1488" xr:uid="{00000000-0005-0000-0000-000002020000}"/>
    <cellStyle name="Currency 8 2 3 2" xfId="3598" xr:uid="{714EC1B8-F7C5-4DA7-81B4-C8A722DBF9D2}"/>
    <cellStyle name="Currency 8 2 3 3" xfId="4904" xr:uid="{E87CBEC5-5508-4666-BE4E-8D0BD806E473}"/>
    <cellStyle name="Currency 8 2 3 4" xfId="8114" xr:uid="{D8EF013D-2F97-4BC5-B0A3-619F836C39C6}"/>
    <cellStyle name="Currency 8 2 4" xfId="1734" xr:uid="{00000000-0005-0000-0000-000003020000}"/>
    <cellStyle name="Currency 8 2 4 2" xfId="3835" xr:uid="{490B0ED3-1DF9-4A0B-928F-7DA4AB0A19AE}"/>
    <cellStyle name="Currency 8 2 4 3" xfId="5155" xr:uid="{E9CAAEC8-D583-4C1F-9530-C0A6616052FF}"/>
    <cellStyle name="Currency 8 2 4 4" xfId="8354" xr:uid="{1CBA68D0-5C66-48B2-9BD6-6C85AF09D9C6}"/>
    <cellStyle name="Currency 8 2 5" xfId="1994" xr:uid="{00000000-0005-0000-0000-000004020000}"/>
    <cellStyle name="Currency 8 2 5 2" xfId="4099" xr:uid="{B50EA65B-2143-448F-AA77-FA6F636EE896}"/>
    <cellStyle name="Currency 8 2 5 3" xfId="5398" xr:uid="{FF766D8B-3186-47C2-B7E9-10C58C2B1D57}"/>
    <cellStyle name="Currency 8 2 5 4" xfId="8590" xr:uid="{F14DEA0D-1E95-4D20-9877-CEE782E0808F}"/>
    <cellStyle name="Currency 8 2 6" xfId="2249" xr:uid="{C1FEAB93-E4A6-4F09-8CC7-5724BEC3C819}"/>
    <cellStyle name="Currency 8 2 6 2" xfId="5634" xr:uid="{ABB12A8F-8947-45D5-9580-246E219DB8CE}"/>
    <cellStyle name="Currency 8 2 6 3" xfId="8826" xr:uid="{F59541FD-5164-412B-84C0-E78287A38F90}"/>
    <cellStyle name="Currency 8 2 7" xfId="2485" xr:uid="{20C03A97-54F2-40AC-B725-264EDE980E77}"/>
    <cellStyle name="Currency 8 2 7 2" xfId="5864" xr:uid="{EEBE5288-EFC5-48DD-B059-96BBEEA394F5}"/>
    <cellStyle name="Currency 8 2 7 3" xfId="9056" xr:uid="{30559CCF-7C1E-4E6E-AC32-5DA27F424EFB}"/>
    <cellStyle name="Currency 8 2 8" xfId="2727" xr:uid="{4DFEC28A-C56A-4EC6-9E47-08A988AEF88F}"/>
    <cellStyle name="Currency 8 2 8 2" xfId="6095" xr:uid="{5AD7EE68-28BB-4FC2-A496-C1AB487C1FB8}"/>
    <cellStyle name="Currency 8 2 8 3" xfId="9286" xr:uid="{1D89902A-8720-4B72-91FD-7F83CAF55475}"/>
    <cellStyle name="Currency 8 2 9" xfId="2960" xr:uid="{E6F6B23C-198E-4623-93D3-4BA528292870}"/>
    <cellStyle name="Currency 8 2 9 2" xfId="6328" xr:uid="{67D17353-7776-4698-A4C3-CF27574EA636}"/>
    <cellStyle name="Currency 8 2 9 3" xfId="9516" xr:uid="{FB61DA5A-F348-488F-A2D5-8FCBFC5BE13C}"/>
    <cellStyle name="Currency 8 20" xfId="11347" xr:uid="{D316E1E1-27B1-4A39-AC82-6F05F2D2CA7C}"/>
    <cellStyle name="Currency 8 21" xfId="11249" xr:uid="{6C36C6CD-3F3C-4CA9-AE04-C1097C0DE47B}"/>
    <cellStyle name="Currency 8 22" xfId="11868" xr:uid="{A47FD912-5817-46E1-8EFF-50E968961A6F}"/>
    <cellStyle name="Currency 8 23" xfId="12069" xr:uid="{810588AE-DCA2-4303-A919-F8383EE36703}"/>
    <cellStyle name="Currency 8 24" xfId="12420" xr:uid="{212BAD4D-3A89-43C7-B3CB-210863C3F5F7}"/>
    <cellStyle name="Currency 8 25" xfId="12476" xr:uid="{588439BC-291E-4F7A-9E4A-54CB2DC77944}"/>
    <cellStyle name="Currency 8 26" xfId="12430" xr:uid="{51AA9B92-1BBC-45AB-AA13-78C2C6E97AFD}"/>
    <cellStyle name="Currency 8 27" xfId="13114" xr:uid="{DD740661-9DD8-42AA-BC28-60CEC95B358B}"/>
    <cellStyle name="Currency 8 28" xfId="13151" xr:uid="{F404E688-6E1D-4E1E-A8FB-A8CFAB19EA81}"/>
    <cellStyle name="Currency 8 3" xfId="1301" xr:uid="{00000000-0005-0000-0000-000005020000}"/>
    <cellStyle name="Currency 8 3 2" xfId="3412" xr:uid="{DBFA961F-4873-42D7-BE32-18AA5FB6515B}"/>
    <cellStyle name="Currency 8 3 3" xfId="4718" xr:uid="{DCFC3238-16B0-4E27-BC19-49683BFB4728}"/>
    <cellStyle name="Currency 8 3 4" xfId="7931" xr:uid="{AADFCB4D-D8EC-41FB-900A-993EC470C49A}"/>
    <cellStyle name="Currency 8 4" xfId="1487" xr:uid="{00000000-0005-0000-0000-000006020000}"/>
    <cellStyle name="Currency 8 4 2" xfId="3597" xr:uid="{7FAF0F35-B893-4384-9A1F-0E322BC3E022}"/>
    <cellStyle name="Currency 8 4 3" xfId="4903" xr:uid="{FFD61082-B8B8-421E-A840-1E20AC9EFFE4}"/>
    <cellStyle name="Currency 8 4 4" xfId="8113" xr:uid="{95D953AC-8288-4D6A-B49E-98DBDFCBFFFA}"/>
    <cellStyle name="Currency 8 5" xfId="1733" xr:uid="{00000000-0005-0000-0000-000007020000}"/>
    <cellStyle name="Currency 8 5 2" xfId="3834" xr:uid="{4B895984-F766-4615-9FA7-BCE5A9C060B9}"/>
    <cellStyle name="Currency 8 5 3" xfId="5154" xr:uid="{18227FD8-D9A3-446C-ADC5-26EEEFA786EF}"/>
    <cellStyle name="Currency 8 5 4" xfId="8353" xr:uid="{6CB36211-3C79-46E6-878C-FE93AF8FBB89}"/>
    <cellStyle name="Currency 8 6" xfId="1993" xr:uid="{00000000-0005-0000-0000-000008020000}"/>
    <cellStyle name="Currency 8 6 2" xfId="4098" xr:uid="{B7562ED9-DFD8-416A-AA00-A94201AAF16A}"/>
    <cellStyle name="Currency 8 6 3" xfId="5397" xr:uid="{51D08860-CED4-4172-AC82-E5285F6D5AC1}"/>
    <cellStyle name="Currency 8 6 4" xfId="8589" xr:uid="{82450A1C-ADCD-43FA-A961-A9944ACC9D15}"/>
    <cellStyle name="Currency 8 7" xfId="2248" xr:uid="{121D57B4-0349-4ECC-9C86-C767136CD996}"/>
    <cellStyle name="Currency 8 7 2" xfId="5633" xr:uid="{55CE2352-A3E1-43DC-89C7-35215D606D1B}"/>
    <cellStyle name="Currency 8 7 3" xfId="8825" xr:uid="{8C43DCC4-1366-4EAF-8358-C347B6E45C8D}"/>
    <cellStyle name="Currency 8 8" xfId="2484" xr:uid="{7177B5A4-5514-4597-BA8C-0174E4A2613A}"/>
    <cellStyle name="Currency 8 8 2" xfId="5863" xr:uid="{ACD0DDB1-1364-4748-874A-F727B50FC796}"/>
    <cellStyle name="Currency 8 8 3" xfId="9055" xr:uid="{E8D2CFA9-BA9D-4993-B5D4-200D97D6D7C0}"/>
    <cellStyle name="Currency 8 9" xfId="2726" xr:uid="{D5396B10-FA0A-4611-A20B-72F06C9E8D40}"/>
    <cellStyle name="Currency 8 9 2" xfId="6094" xr:uid="{453764DA-42BA-47A5-93FF-3342FC605426}"/>
    <cellStyle name="Currency 8 9 3" xfId="9285" xr:uid="{0CD60604-3FB0-4E73-B2BA-18DC8708332B}"/>
    <cellStyle name="Currency 9" xfId="298" xr:uid="{00000000-0005-0000-0000-000009020000}"/>
    <cellStyle name="Currency 9 10" xfId="2961" xr:uid="{D23148DE-D349-4698-833A-B084D40EAADD}"/>
    <cellStyle name="Currency 9 10 2" xfId="6329" xr:uid="{BD07DA1B-9964-45E5-8A93-62FB6C01ABFD}"/>
    <cellStyle name="Currency 9 10 3" xfId="9517" xr:uid="{0C1544FC-E1F4-4B95-BD05-288962AFB9B3}"/>
    <cellStyle name="Currency 9 11" xfId="3174" xr:uid="{25684251-62E4-4DEC-A8C3-969AA00DE30E}"/>
    <cellStyle name="Currency 9 11 2" xfId="6575" xr:uid="{A4C31A7F-6773-459C-A677-ED0B86E48089}"/>
    <cellStyle name="Currency 9 11 3" xfId="9758" xr:uid="{FEFAFCD3-BF75-4A7E-A4C7-6132B7E7DD12}"/>
    <cellStyle name="Currency 9 12" xfId="6836" xr:uid="{9C82E69E-9D05-4244-8325-25A0C862235F}"/>
    <cellStyle name="Currency 9 12 2" xfId="10000" xr:uid="{56D3C5E6-D06F-4781-9045-35B35EB2370A}"/>
    <cellStyle name="Currency 9 13" xfId="7131" xr:uid="{1EEFE3BC-1EF1-4FAD-B856-ED38FAC30C82}"/>
    <cellStyle name="Currency 9 13 2" xfId="10273" xr:uid="{A218701C-955D-492F-9107-CDDBF460C998}"/>
    <cellStyle name="Currency 9 14" xfId="7374" xr:uid="{89B74949-7F5B-449D-81B8-2BE5944EF4D3}"/>
    <cellStyle name="Currency 9 14 2" xfId="10512" xr:uid="{095152D8-E3A5-41AF-8E7F-9B3E316741E2}"/>
    <cellStyle name="Currency 9 15" xfId="7404" xr:uid="{47CEF39D-51A1-4489-A18B-DF65CC8275BA}"/>
    <cellStyle name="Currency 9 15 2" xfId="10539" xr:uid="{9E239940-8155-48D0-8C24-9FAB51DD0F2F}"/>
    <cellStyle name="Currency 9 16" xfId="4405" xr:uid="{B892EF85-FC88-4D18-82BB-C25AB38206D4}"/>
    <cellStyle name="Currency 9 17" xfId="4432" xr:uid="{FD6B7073-E5F1-43EB-8087-AED8338EEEBC}"/>
    <cellStyle name="Currency 9 18" xfId="10979" xr:uid="{51FE206C-EFDF-437B-A25B-41C4EC218581}"/>
    <cellStyle name="Currency 9 19" xfId="11310" xr:uid="{A91F08ED-D6F2-4C45-B547-44C45EE1CC2A}"/>
    <cellStyle name="Currency 9 2" xfId="299" xr:uid="{00000000-0005-0000-0000-00000A020000}"/>
    <cellStyle name="Currency 9 2 10" xfId="3175" xr:uid="{64CECBBD-9333-4D7B-9705-EB67F6FF3BF4}"/>
    <cellStyle name="Currency 9 2 10 2" xfId="6576" xr:uid="{BCFAC58E-C061-4C17-A791-D19EF4971CD2}"/>
    <cellStyle name="Currency 9 2 10 3" xfId="9759" xr:uid="{E149037D-04ED-4DE9-8B64-87FB80BC02A7}"/>
    <cellStyle name="Currency 9 2 11" xfId="6837" xr:uid="{96EBC824-EF85-43C1-970B-AD44D813CD82}"/>
    <cellStyle name="Currency 9 2 11 2" xfId="10001" xr:uid="{ED0F9A6F-BC94-45D8-9F26-EDBD802977C6}"/>
    <cellStyle name="Currency 9 2 12" xfId="7132" xr:uid="{BFE74BC4-D232-41C0-8B95-9E6E8B45780E}"/>
    <cellStyle name="Currency 9 2 12 2" xfId="10274" xr:uid="{9B35583D-FE9E-4517-92BB-EE75EE193EB6}"/>
    <cellStyle name="Currency 9 2 13" xfId="7375" xr:uid="{688FC6E2-2537-4206-9E2F-8FED2BABD2C9}"/>
    <cellStyle name="Currency 9 2 13 2" xfId="10513" xr:uid="{307704B3-FAD7-4512-9EC6-3BE3F365F878}"/>
    <cellStyle name="Currency 9 2 14" xfId="7403" xr:uid="{9C26667E-5545-48C2-B779-D13F2AB58AF5}"/>
    <cellStyle name="Currency 9 2 14 2" xfId="10538" xr:uid="{5A2EDFEF-B827-475E-A852-F77734630060}"/>
    <cellStyle name="Currency 9 2 15" xfId="4406" xr:uid="{807BF37B-DB73-4149-A4E8-DB758A01CA5F}"/>
    <cellStyle name="Currency 9 2 16" xfId="4431" xr:uid="{8D643356-9BC9-4796-A3D1-7E1BCF6CF1E7}"/>
    <cellStyle name="Currency 9 2 17" xfId="10980" xr:uid="{E3CC4852-810C-4224-B9BA-60F6587C595B}"/>
    <cellStyle name="Currency 9 2 18" xfId="11311" xr:uid="{8E3566F7-5FC8-4ACD-A453-2F7031815EE0}"/>
    <cellStyle name="Currency 9 2 19" xfId="11344" xr:uid="{81E6013B-FF43-4786-B766-A5ED35EBAAC6}"/>
    <cellStyle name="Currency 9 2 2" xfId="1304" xr:uid="{00000000-0005-0000-0000-00000B020000}"/>
    <cellStyle name="Currency 9 2 2 2" xfId="3415" xr:uid="{83AE57C1-A532-45A4-841C-4FE60D933120}"/>
    <cellStyle name="Currency 9 2 2 3" xfId="4721" xr:uid="{AE3537EC-40D9-421A-AEBF-1475A8530F20}"/>
    <cellStyle name="Currency 9 2 2 4" xfId="7934" xr:uid="{77A08D56-77D3-48BE-8CA9-A3C58E235173}"/>
    <cellStyle name="Currency 9 2 20" xfId="11252" xr:uid="{DCCD2D12-7146-464A-8DAF-0E6FD6B899C9}"/>
    <cellStyle name="Currency 9 2 21" xfId="11871" xr:uid="{10A1C7CC-6E54-424A-A9A7-D80587D4FE77}"/>
    <cellStyle name="Currency 9 2 22" xfId="12072" xr:uid="{FE62260A-90D6-472A-A655-366FBC172C64}"/>
    <cellStyle name="Currency 9 2 23" xfId="12423" xr:uid="{C58EE986-AAC7-4D6D-986D-94E083C2BEF7}"/>
    <cellStyle name="Currency 9 2 24" xfId="12473" xr:uid="{AC9642CD-3EB7-4406-B0B1-6DF758F762BD}"/>
    <cellStyle name="Currency 9 2 25" xfId="12433" xr:uid="{8929D719-1D63-4124-9F5F-33E82511B402}"/>
    <cellStyle name="Currency 9 2 26" xfId="13117" xr:uid="{69BC0950-350C-482B-9738-51AC05431B00}"/>
    <cellStyle name="Currency 9 2 27" xfId="13148" xr:uid="{B554D0BF-E5DA-4F12-BC43-C9177A17028D}"/>
    <cellStyle name="Currency 9 2 3" xfId="1490" xr:uid="{00000000-0005-0000-0000-00000C020000}"/>
    <cellStyle name="Currency 9 2 3 2" xfId="3600" xr:uid="{ACBAE8D7-0AA4-4237-BABA-F10788E5627E}"/>
    <cellStyle name="Currency 9 2 3 3" xfId="4906" xr:uid="{FE506346-29B2-4ED7-BF6F-E1413C092BB8}"/>
    <cellStyle name="Currency 9 2 3 4" xfId="8116" xr:uid="{F4EC2DC9-2E36-4AF6-8A15-51A3D4F57515}"/>
    <cellStyle name="Currency 9 2 4" xfId="1736" xr:uid="{00000000-0005-0000-0000-00000D020000}"/>
    <cellStyle name="Currency 9 2 4 2" xfId="3837" xr:uid="{ED722A58-567C-465F-B571-6C48B8B26E7B}"/>
    <cellStyle name="Currency 9 2 4 3" xfId="5157" xr:uid="{5481F0B2-A8B3-46EE-A126-282BA785D30D}"/>
    <cellStyle name="Currency 9 2 4 4" xfId="8356" xr:uid="{C0E0C9B2-6AA9-4EF5-9262-42EAD9631EBA}"/>
    <cellStyle name="Currency 9 2 5" xfId="1996" xr:uid="{00000000-0005-0000-0000-00000E020000}"/>
    <cellStyle name="Currency 9 2 5 2" xfId="4101" xr:uid="{C58D0F67-685D-4306-B38C-C74E25766B53}"/>
    <cellStyle name="Currency 9 2 5 3" xfId="5400" xr:uid="{E68F8D5A-7864-4D85-909C-498A28185C0F}"/>
    <cellStyle name="Currency 9 2 5 4" xfId="8592" xr:uid="{16394FE0-C400-40F8-B953-53AF0EC8566D}"/>
    <cellStyle name="Currency 9 2 6" xfId="2251" xr:uid="{B33A1634-5CDB-4279-9697-7797CA6D918C}"/>
    <cellStyle name="Currency 9 2 6 2" xfId="5636" xr:uid="{22DB1DE8-AD6B-41C3-B75A-96EFE3758721}"/>
    <cellStyle name="Currency 9 2 6 3" xfId="8828" xr:uid="{DC674CD6-C00B-4533-B79F-19C03715882B}"/>
    <cellStyle name="Currency 9 2 7" xfId="2487" xr:uid="{E1DA924E-4CAB-4CB2-9CAE-18B0B8730CDA}"/>
    <cellStyle name="Currency 9 2 7 2" xfId="5866" xr:uid="{D789E5CA-79D6-435F-80DC-9BF1569E148B}"/>
    <cellStyle name="Currency 9 2 7 3" xfId="9058" xr:uid="{E004D516-F113-49F9-BDA0-720F01316758}"/>
    <cellStyle name="Currency 9 2 8" xfId="2729" xr:uid="{249CB7CD-6C5C-4281-8928-18291474C87D}"/>
    <cellStyle name="Currency 9 2 8 2" xfId="6097" xr:uid="{8135C6A5-5E2D-4A19-8350-50B86349A598}"/>
    <cellStyle name="Currency 9 2 8 3" xfId="9288" xr:uid="{1E1C598E-C4DD-454A-863A-10A4A442F982}"/>
    <cellStyle name="Currency 9 2 9" xfId="2962" xr:uid="{C4CDF044-73AD-46A8-B71A-E133BC20FD8B}"/>
    <cellStyle name="Currency 9 2 9 2" xfId="6330" xr:uid="{38E2A16F-044A-4DA8-A4CC-84E55066A129}"/>
    <cellStyle name="Currency 9 2 9 3" xfId="9518" xr:uid="{39FBAE54-58B9-494C-A4B5-0A0405857FDA}"/>
    <cellStyle name="Currency 9 20" xfId="11345" xr:uid="{E8A8EB0E-3B1F-46E4-A444-1F745D424A0F}"/>
    <cellStyle name="Currency 9 21" xfId="11251" xr:uid="{B09A35B6-1E5A-4B44-8557-555B35110C6F}"/>
    <cellStyle name="Currency 9 22" xfId="11870" xr:uid="{1C5B5B80-AE70-4042-B553-4F89B973015A}"/>
    <cellStyle name="Currency 9 23" xfId="12071" xr:uid="{A7E8E6F0-A8C6-4C8A-A002-739270174915}"/>
    <cellStyle name="Currency 9 24" xfId="12422" xr:uid="{38CA608E-1CC7-4627-80AC-A2F1535F4283}"/>
    <cellStyle name="Currency 9 25" xfId="12474" xr:uid="{50859596-1C30-4760-88EF-D7D50572BB9E}"/>
    <cellStyle name="Currency 9 26" xfId="12432" xr:uid="{1B42F845-88DC-402A-8A12-5F828EE815AA}"/>
    <cellStyle name="Currency 9 27" xfId="13116" xr:uid="{497EA19B-E198-436F-B8A7-A9FDB5CE98F1}"/>
    <cellStyle name="Currency 9 28" xfId="13149" xr:uid="{C9F2EB5F-32C5-4C49-8472-723244FB20F3}"/>
    <cellStyle name="Currency 9 3" xfId="1303" xr:uid="{00000000-0005-0000-0000-00000F020000}"/>
    <cellStyle name="Currency 9 3 2" xfId="3414" xr:uid="{C0DC5A2F-E88C-47ED-BCA2-F49E70C13BA3}"/>
    <cellStyle name="Currency 9 3 3" xfId="4720" xr:uid="{BC2A9CDE-1FA1-47A4-92A7-D8D81BF87E92}"/>
    <cellStyle name="Currency 9 3 4" xfId="7933" xr:uid="{C942F88E-39EC-47AC-AF09-634E9DC732CD}"/>
    <cellStyle name="Currency 9 4" xfId="1489" xr:uid="{00000000-0005-0000-0000-000010020000}"/>
    <cellStyle name="Currency 9 4 2" xfId="3599" xr:uid="{415E1CB4-FC32-4175-B296-42E10101F9E7}"/>
    <cellStyle name="Currency 9 4 3" xfId="4905" xr:uid="{BDA6C772-89CD-4F54-A49F-8A41E49FFA0C}"/>
    <cellStyle name="Currency 9 4 4" xfId="8115" xr:uid="{E9035936-93CC-4111-AF9B-2D7161BE390F}"/>
    <cellStyle name="Currency 9 5" xfId="1735" xr:uid="{00000000-0005-0000-0000-000011020000}"/>
    <cellStyle name="Currency 9 5 2" xfId="3836" xr:uid="{45C309B3-67C0-4D41-A09B-C5AA522B5EE6}"/>
    <cellStyle name="Currency 9 5 3" xfId="5156" xr:uid="{C5765E1F-CD52-4098-ABD1-A24E674A5EF2}"/>
    <cellStyle name="Currency 9 5 4" xfId="8355" xr:uid="{A4750C1F-7F75-4281-92D8-84E22902CBD8}"/>
    <cellStyle name="Currency 9 6" xfId="1995" xr:uid="{00000000-0005-0000-0000-000012020000}"/>
    <cellStyle name="Currency 9 6 2" xfId="4100" xr:uid="{80B9C9B0-76AE-4162-961E-FEA0A4453838}"/>
    <cellStyle name="Currency 9 6 3" xfId="5399" xr:uid="{AF23E3C2-74EB-490E-B1F7-CB503376BF17}"/>
    <cellStyle name="Currency 9 6 4" xfId="8591" xr:uid="{09DC61E3-DC43-4764-8B33-4A52452462C1}"/>
    <cellStyle name="Currency 9 7" xfId="2250" xr:uid="{5A98294F-361C-4CE9-9345-B9004CE7CDEB}"/>
    <cellStyle name="Currency 9 7 2" xfId="5635" xr:uid="{1EECFA2E-6E88-40CB-84B2-D3B1597CE3E7}"/>
    <cellStyle name="Currency 9 7 3" xfId="8827" xr:uid="{934F11AD-1983-4AC1-80DB-46DD7041E029}"/>
    <cellStyle name="Currency 9 8" xfId="2486" xr:uid="{EB4D5ED3-485E-44DF-BF07-FF477F0BABD4}"/>
    <cellStyle name="Currency 9 8 2" xfId="5865" xr:uid="{719FFA06-7D07-48CE-BF43-E62178DB0EC9}"/>
    <cellStyle name="Currency 9 8 3" xfId="9057" xr:uid="{1287F64B-2A62-4045-8DB6-42FEBB3A16E0}"/>
    <cellStyle name="Currency 9 9" xfId="2728" xr:uid="{E8FEF993-7091-4582-AEB7-219B33DF042F}"/>
    <cellStyle name="Currency 9 9 2" xfId="6096" xr:uid="{00C98394-ED39-4D0C-A877-38A1626B3176}"/>
    <cellStyle name="Currency 9 9 3" xfId="9287" xr:uid="{D21DF0C2-F8CA-42FF-8107-34BE360B391D}"/>
    <cellStyle name="Currency_ Metal Doré 96" xfId="300" xr:uid="{00000000-0005-0000-0000-000013020000}"/>
    <cellStyle name="Currency0" xfId="301" xr:uid="{00000000-0005-0000-0000-000014020000}"/>
    <cellStyle name="Currency0 2" xfId="302" xr:uid="{00000000-0005-0000-0000-000015020000}"/>
    <cellStyle name="Currency0 3" xfId="303" xr:uid="{00000000-0005-0000-0000-000016020000}"/>
    <cellStyle name="Currency0 4" xfId="304" xr:uid="{00000000-0005-0000-0000-000017020000}"/>
    <cellStyle name="Currency0 5" xfId="305" xr:uid="{00000000-0005-0000-0000-000018020000}"/>
    <cellStyle name="Currency0 6" xfId="306" xr:uid="{00000000-0005-0000-0000-000019020000}"/>
    <cellStyle name="Currency0 7" xfId="307" xr:uid="{00000000-0005-0000-0000-00001A020000}"/>
    <cellStyle name="Currency0 7 2" xfId="308" xr:uid="{00000000-0005-0000-0000-00001B020000}"/>
    <cellStyle name="D" xfId="309" xr:uid="{00000000-0005-0000-0000-00001C020000}"/>
    <cellStyle name="D_ECO-01 Lubricanteras Rev1" xfId="310" xr:uid="{00000000-0005-0000-0000-00001D020000}"/>
    <cellStyle name="D_Oferta Económica Rev1 (CABLEADO ESTRUCT) (2)" xfId="311" xr:uid="{00000000-0005-0000-0000-00001E020000}"/>
    <cellStyle name="Data" xfId="312" xr:uid="{00000000-0005-0000-0000-00001F020000}"/>
    <cellStyle name="Date" xfId="313" xr:uid="{00000000-0005-0000-0000-000020020000}"/>
    <cellStyle name="Date 2" xfId="314" xr:uid="{00000000-0005-0000-0000-000021020000}"/>
    <cellStyle name="Date Short" xfId="315" xr:uid="{00000000-0005-0000-0000-000022020000}"/>
    <cellStyle name="Date_2567-BLI-0000-CO-001-Itemizado_Rev C" xfId="316" xr:uid="{00000000-0005-0000-0000-000023020000}"/>
    <cellStyle name="DELTA" xfId="317" xr:uid="{00000000-0005-0000-0000-000024020000}"/>
    <cellStyle name="DELTA 10" xfId="10981" xr:uid="{9718721B-6DBA-4D10-A8C1-5C7B2AEFE061}"/>
    <cellStyle name="DELTA 11" xfId="11317" xr:uid="{68DAB6D7-B351-43C6-AD91-63E9FCF3302C}"/>
    <cellStyle name="DELTA 12" xfId="11337" xr:uid="{50A1B01B-EF2F-4BB5-BA0C-39C6A83E1B6E}"/>
    <cellStyle name="DELTA 13" xfId="11253" xr:uid="{DC5906B0-366F-444F-81A0-B414D177ED73}"/>
    <cellStyle name="DELTA 14" xfId="12469" xr:uid="{58F54D7B-FB14-45B8-BB18-3BFFD24FDCE4}"/>
    <cellStyle name="DELTA 15" xfId="12535" xr:uid="{9B5BA39A-15FA-4AD1-909A-08DC47B74889}"/>
    <cellStyle name="DELTA 16" xfId="13147" xr:uid="{DBFE4FFA-C536-453E-A539-D951B8748111}"/>
    <cellStyle name="DELTA 2" xfId="1305" xr:uid="{00000000-0005-0000-0000-000025020000}"/>
    <cellStyle name="DELTA 2 2" xfId="3416" xr:uid="{5487E8EB-C3D4-4F6C-ACC3-BC636FEBCDDD}"/>
    <cellStyle name="DELTA 2 3" xfId="4722" xr:uid="{83FABB8C-0D0C-4B6E-9F87-BC2FFD74B4B6}"/>
    <cellStyle name="DELTA 2 4" xfId="7935" xr:uid="{FF3770B2-0D89-4E59-8AF7-8B762D13AE6B}"/>
    <cellStyle name="DELTA 3" xfId="1491" xr:uid="{00000000-0005-0000-0000-000026020000}"/>
    <cellStyle name="DELTA 3 2" xfId="3601" xr:uid="{373DFEB2-7470-4219-9E22-333DD9B828CB}"/>
    <cellStyle name="DELTA 3 3" xfId="4907" xr:uid="{69672C22-B364-422F-9C7F-243CC0327FE8}"/>
    <cellStyle name="DELTA 3 4" xfId="8117" xr:uid="{E49B7A73-4DD4-4E6C-9CBA-F69CABEA076A}"/>
    <cellStyle name="DELTA 4" xfId="4102" xr:uid="{78E7A513-FDFD-4426-BFAE-6339CDFB9C36}"/>
    <cellStyle name="DELTA 4 2" xfId="6577" xr:uid="{890AA18B-612C-4183-B6D9-9861CAD3568D}"/>
    <cellStyle name="DELTA 4 3" xfId="9760" xr:uid="{96E46FF8-4291-41AD-84F8-A863ADEE3FB5}"/>
    <cellStyle name="DELTA 5" xfId="3176" xr:uid="{E369BC18-D1EA-4173-B8C5-E24591C35954}"/>
    <cellStyle name="DELTA 5 2" xfId="6838" xr:uid="{6F9F7A2E-C6ED-4005-9D6E-A2D4BC88B940}"/>
    <cellStyle name="DELTA 5 3" xfId="10002" xr:uid="{4E4E66EA-EFCA-4E6A-971D-1FF6DFA0C523}"/>
    <cellStyle name="DELTA 6" xfId="7133" xr:uid="{90375F7E-6BFF-4A20-9515-12E9C78AAD91}"/>
    <cellStyle name="DELTA 6 2" xfId="10275" xr:uid="{EC1A4A18-93F1-4C6E-8343-FD544B771AD5}"/>
    <cellStyle name="DELTA 7" xfId="7376" xr:uid="{48F408E1-038E-4417-AA96-4FCE40E1FAC6}"/>
    <cellStyle name="DELTA 7 2" xfId="10514" xr:uid="{4879F9CA-9104-4244-8D5B-ED14C9AA4B86}"/>
    <cellStyle name="DELTA 8" xfId="7402" xr:uid="{897B4A07-CD55-4EAE-BF56-06978C806AD2}"/>
    <cellStyle name="DELTA 8 2" xfId="10537" xr:uid="{59FC7B5C-5554-484C-93D6-1DC949BBE488}"/>
    <cellStyle name="DELTA 9" xfId="4407" xr:uid="{32185F07-6F46-482C-9610-510FDB0E9045}"/>
    <cellStyle name="Dia" xfId="318" xr:uid="{00000000-0005-0000-0000-000027020000}"/>
    <cellStyle name="DIA 2" xfId="319" xr:uid="{00000000-0005-0000-0000-000028020000}"/>
    <cellStyle name="DIA 3" xfId="320" xr:uid="{00000000-0005-0000-0000-000029020000}"/>
    <cellStyle name="DIA 4" xfId="321" xr:uid="{00000000-0005-0000-0000-00002A020000}"/>
    <cellStyle name="DIA 5" xfId="322" xr:uid="{00000000-0005-0000-0000-00002B020000}"/>
    <cellStyle name="DIA 6" xfId="323" xr:uid="{00000000-0005-0000-0000-00002C020000}"/>
    <cellStyle name="Dia 7" xfId="324" xr:uid="{00000000-0005-0000-0000-00002D020000}"/>
    <cellStyle name="dollarsPerKWh" xfId="325" xr:uid="{00000000-0005-0000-0000-00002E020000}"/>
    <cellStyle name="dollarsPerLb" xfId="326" xr:uid="{00000000-0005-0000-0000-00002F020000}"/>
    <cellStyle name="dollarsPerLb4" xfId="327" xr:uid="{00000000-0005-0000-0000-000030020000}"/>
    <cellStyle name="dollarsPerm3" xfId="328" xr:uid="{00000000-0005-0000-0000-000031020000}"/>
    <cellStyle name="dollarsPerm3 2" xfId="1737" xr:uid="{00000000-0005-0000-0000-000032020000}"/>
    <cellStyle name="dollarsPerm3 2 2" xfId="3838" xr:uid="{14F65966-E70E-43A9-974F-ABC26677CD09}"/>
    <cellStyle name="dollarsPerm3 2 3" xfId="5082" xr:uid="{E889DAB9-1D1F-4CFA-929B-723703E92A9A}"/>
    <cellStyle name="dollarsPerm3 3" xfId="5158" xr:uid="{76600D4B-C662-4AF8-B01C-B5D7B40E3D30}"/>
    <cellStyle name="dollarsPerm3 4" xfId="12463" xr:uid="{A13A61A4-48FD-43ED-8E0F-9B5FE3FFCE41}"/>
    <cellStyle name="dollarsPerMWh" xfId="329" xr:uid="{00000000-0005-0000-0000-000033020000}"/>
    <cellStyle name="dollarsPerTon" xfId="330" xr:uid="{00000000-0005-0000-0000-000034020000}"/>
    <cellStyle name="dollarsPerYear" xfId="331" xr:uid="{00000000-0005-0000-0000-000035020000}"/>
    <cellStyle name="dollarsPerYear 2" xfId="13121" xr:uid="{B7EC110E-7F95-48D5-9474-4616404B74CD}"/>
    <cellStyle name="eliminado" xfId="332" xr:uid="{00000000-0005-0000-0000-000036020000}"/>
    <cellStyle name="eliminado 10" xfId="4408" xr:uid="{73C67A2A-BDB7-4F9F-9A31-DBADAF1F5811}"/>
    <cellStyle name="eliminado 11" xfId="10982" xr:uid="{F99E46DC-43CA-4771-A941-DC39702CA226}"/>
    <cellStyle name="eliminado 12" xfId="11159" xr:uid="{22D207E8-E3AB-4956-8418-BF939A3967E5}"/>
    <cellStyle name="eliminado 13" xfId="11872" xr:uid="{28B9DA40-C427-48EB-BB2C-722045FAAC61}"/>
    <cellStyle name="eliminado 14" xfId="12073" xr:uid="{8EE20CA2-05EE-42E4-BCCF-45EC60A4C869}"/>
    <cellStyle name="eliminado 15" xfId="12440" xr:uid="{388058C0-8FEE-4E29-8756-F6189F46A73A}"/>
    <cellStyle name="eliminado 16" xfId="12462" xr:uid="{AF947B5B-2ECA-4978-AE19-F4B1FBA3FBEC}"/>
    <cellStyle name="eliminado 17" xfId="12471" xr:uid="{00E4D163-F475-43DB-AC02-53741A8C6EEF}"/>
    <cellStyle name="eliminado 18" xfId="13122" xr:uid="{113413C0-9905-4DB5-B650-F7F993167CE0}"/>
    <cellStyle name="eliminado 19" xfId="13145" xr:uid="{0572F9D5-9461-488C-87B1-8551C50CEAF1}"/>
    <cellStyle name="eliminado 2" xfId="1306" xr:uid="{00000000-0005-0000-0000-000037020000}"/>
    <cellStyle name="eliminado 2 2" xfId="3417" xr:uid="{9723D813-550B-4827-9683-81812964C5CE}"/>
    <cellStyle name="eliminado 2 3" xfId="4723" xr:uid="{1B4439C7-64D6-4BEB-9A21-AB87F025374D}"/>
    <cellStyle name="eliminado 3" xfId="1738" xr:uid="{00000000-0005-0000-0000-000038020000}"/>
    <cellStyle name="eliminado 3 2" xfId="3839" xr:uid="{1F55EFB6-A017-42CD-B5D1-C86BAD3882EB}"/>
    <cellStyle name="eliminado 3 3" xfId="5159" xr:uid="{D8508CB2-5D7C-4DE3-9A7F-C9A119ACBCFD}"/>
    <cellStyle name="eliminado 4" xfId="2252" xr:uid="{B60B5A3F-BDB5-4F17-9AB8-3FC71FCA35BA}"/>
    <cellStyle name="eliminado 4 2" xfId="6098" xr:uid="{D89511DB-8198-4F5C-9DB3-72745F113847}"/>
    <cellStyle name="eliminado 5" xfId="2488" xr:uid="{2BEB95A2-153B-456A-B856-93919999DC54}"/>
    <cellStyle name="eliminado 5 2" xfId="6331" xr:uid="{3A54B489-9A17-48DB-93F5-088D98AF3A99}"/>
    <cellStyle name="eliminado 6" xfId="2963" xr:uid="{D496C3B7-8158-4F2F-9A63-D9ACA22BD033}"/>
    <cellStyle name="eliminado 6 2" xfId="6578" xr:uid="{9D79051A-6EB2-4C53-8195-3A9A8792FD12}"/>
    <cellStyle name="eliminado 7" xfId="6839" xr:uid="{BF279F37-6E88-4A77-9DEE-60C19F5B9952}"/>
    <cellStyle name="eliminado 8" xfId="7134" xr:uid="{48600600-093A-4677-BD83-35C20867B385}"/>
    <cellStyle name="eliminado 9" xfId="7401" xr:uid="{1F7B03D2-BBFA-4077-A02E-417C3E14EDFF}"/>
    <cellStyle name="ENCABE" xfId="333" xr:uid="{00000000-0005-0000-0000-000039020000}"/>
    <cellStyle name="Encabez1" xfId="334" xr:uid="{00000000-0005-0000-0000-00003A020000}"/>
    <cellStyle name="ENCABEZ1 2" xfId="335" xr:uid="{00000000-0005-0000-0000-00003B020000}"/>
    <cellStyle name="Encabez1 2 2" xfId="336" xr:uid="{00000000-0005-0000-0000-00003C020000}"/>
    <cellStyle name="Encabez2" xfId="337" xr:uid="{00000000-0005-0000-0000-00003D020000}"/>
    <cellStyle name="ENCABEZ2 2" xfId="338" xr:uid="{00000000-0005-0000-0000-00003E020000}"/>
    <cellStyle name="ENCABEZ2 3" xfId="339" xr:uid="{00000000-0005-0000-0000-00003F020000}"/>
    <cellStyle name="ENCABEZ2 4" xfId="340" xr:uid="{00000000-0005-0000-0000-000040020000}"/>
    <cellStyle name="ENCABEZ2 5" xfId="341" xr:uid="{00000000-0005-0000-0000-000041020000}"/>
    <cellStyle name="ENCABEZ2 6" xfId="342" xr:uid="{00000000-0005-0000-0000-000042020000}"/>
    <cellStyle name="Encabez2 7" xfId="343" xr:uid="{00000000-0005-0000-0000-000043020000}"/>
    <cellStyle name="Encabezado 1 2" xfId="344" xr:uid="{00000000-0005-0000-0000-000044020000}"/>
    <cellStyle name="Encabezado 2" xfId="345" xr:uid="{00000000-0005-0000-0000-000045020000}"/>
    <cellStyle name="Encabezado 2 2" xfId="346" xr:uid="{00000000-0005-0000-0000-000046020000}"/>
    <cellStyle name="Encabezado 2 3" xfId="347" xr:uid="{00000000-0005-0000-0000-000047020000}"/>
    <cellStyle name="Encabezado 2 4" xfId="348" xr:uid="{00000000-0005-0000-0000-000048020000}"/>
    <cellStyle name="Encabezado 2 5" xfId="349" xr:uid="{00000000-0005-0000-0000-000049020000}"/>
    <cellStyle name="Encabezado 2 6" xfId="350" xr:uid="{00000000-0005-0000-0000-00004A020000}"/>
    <cellStyle name="Encabezado 4 2" xfId="351" xr:uid="{00000000-0005-0000-0000-00004B020000}"/>
    <cellStyle name="Encabezado 4 3" xfId="352" xr:uid="{00000000-0005-0000-0000-00004C020000}"/>
    <cellStyle name="Encabezado 4 4" xfId="353" xr:uid="{00000000-0005-0000-0000-00004D020000}"/>
    <cellStyle name="Encabezado 4 5" xfId="354" xr:uid="{00000000-0005-0000-0000-00004E020000}"/>
    <cellStyle name="Énfasis 1" xfId="355" xr:uid="{00000000-0005-0000-0000-00004F020000}"/>
    <cellStyle name="Énfasis 2" xfId="356" xr:uid="{00000000-0005-0000-0000-000050020000}"/>
    <cellStyle name="Énfasis 3" xfId="357" xr:uid="{00000000-0005-0000-0000-000051020000}"/>
    <cellStyle name="Énfasis1 - 20%" xfId="358" xr:uid="{00000000-0005-0000-0000-000052020000}"/>
    <cellStyle name="Énfasis1 - 40%" xfId="359" xr:uid="{00000000-0005-0000-0000-000053020000}"/>
    <cellStyle name="Énfasis1 - 60%" xfId="360" xr:uid="{00000000-0005-0000-0000-000054020000}"/>
    <cellStyle name="Énfasis1 10" xfId="361" xr:uid="{00000000-0005-0000-0000-000055020000}"/>
    <cellStyle name="Énfasis1 11" xfId="362" xr:uid="{00000000-0005-0000-0000-000056020000}"/>
    <cellStyle name="Énfasis1 12" xfId="363" xr:uid="{00000000-0005-0000-0000-000057020000}"/>
    <cellStyle name="Énfasis1 13" xfId="364" xr:uid="{00000000-0005-0000-0000-000058020000}"/>
    <cellStyle name="Énfasis1 14" xfId="365" xr:uid="{00000000-0005-0000-0000-000059020000}"/>
    <cellStyle name="Énfasis1 15" xfId="366" xr:uid="{00000000-0005-0000-0000-00005A020000}"/>
    <cellStyle name="Énfasis1 16" xfId="367" xr:uid="{00000000-0005-0000-0000-00005B020000}"/>
    <cellStyle name="Énfasis1 2" xfId="368" xr:uid="{00000000-0005-0000-0000-00005C020000}"/>
    <cellStyle name="Énfasis1 3" xfId="369" xr:uid="{00000000-0005-0000-0000-00005D020000}"/>
    <cellStyle name="Énfasis1 4" xfId="370" xr:uid="{00000000-0005-0000-0000-00005E020000}"/>
    <cellStyle name="Énfasis1 5" xfId="371" xr:uid="{00000000-0005-0000-0000-00005F020000}"/>
    <cellStyle name="Énfasis1 6" xfId="372" xr:uid="{00000000-0005-0000-0000-000060020000}"/>
    <cellStyle name="Énfasis1 7" xfId="373" xr:uid="{00000000-0005-0000-0000-000061020000}"/>
    <cellStyle name="Énfasis1 8" xfId="374" xr:uid="{00000000-0005-0000-0000-000062020000}"/>
    <cellStyle name="Énfasis1 9" xfId="375" xr:uid="{00000000-0005-0000-0000-000063020000}"/>
    <cellStyle name="Énfasis2 - 20%" xfId="376" xr:uid="{00000000-0005-0000-0000-000064020000}"/>
    <cellStyle name="Énfasis2 - 40%" xfId="377" xr:uid="{00000000-0005-0000-0000-000065020000}"/>
    <cellStyle name="Énfasis2 - 60%" xfId="378" xr:uid="{00000000-0005-0000-0000-000066020000}"/>
    <cellStyle name="Énfasis2 10" xfId="379" xr:uid="{00000000-0005-0000-0000-000067020000}"/>
    <cellStyle name="Énfasis2 11" xfId="380" xr:uid="{00000000-0005-0000-0000-000068020000}"/>
    <cellStyle name="Énfasis2 12" xfId="381" xr:uid="{00000000-0005-0000-0000-000069020000}"/>
    <cellStyle name="Énfasis2 13" xfId="382" xr:uid="{00000000-0005-0000-0000-00006A020000}"/>
    <cellStyle name="Énfasis2 14" xfId="383" xr:uid="{00000000-0005-0000-0000-00006B020000}"/>
    <cellStyle name="Énfasis2 15" xfId="384" xr:uid="{00000000-0005-0000-0000-00006C020000}"/>
    <cellStyle name="Énfasis2 16" xfId="385" xr:uid="{00000000-0005-0000-0000-00006D020000}"/>
    <cellStyle name="Énfasis2 2" xfId="386" xr:uid="{00000000-0005-0000-0000-00006E020000}"/>
    <cellStyle name="Énfasis2 3" xfId="387" xr:uid="{00000000-0005-0000-0000-00006F020000}"/>
    <cellStyle name="Énfasis2 4" xfId="388" xr:uid="{00000000-0005-0000-0000-000070020000}"/>
    <cellStyle name="Énfasis2 5" xfId="389" xr:uid="{00000000-0005-0000-0000-000071020000}"/>
    <cellStyle name="Énfasis2 6" xfId="390" xr:uid="{00000000-0005-0000-0000-000072020000}"/>
    <cellStyle name="Énfasis2 7" xfId="391" xr:uid="{00000000-0005-0000-0000-000073020000}"/>
    <cellStyle name="Énfasis2 8" xfId="392" xr:uid="{00000000-0005-0000-0000-000074020000}"/>
    <cellStyle name="Énfasis2 9" xfId="393" xr:uid="{00000000-0005-0000-0000-000075020000}"/>
    <cellStyle name="Énfasis3 - 20%" xfId="394" xr:uid="{00000000-0005-0000-0000-000076020000}"/>
    <cellStyle name="Énfasis3 - 40%" xfId="395" xr:uid="{00000000-0005-0000-0000-000077020000}"/>
    <cellStyle name="Énfasis3 - 60%" xfId="396" xr:uid="{00000000-0005-0000-0000-000078020000}"/>
    <cellStyle name="Énfasis3 10" xfId="397" xr:uid="{00000000-0005-0000-0000-000079020000}"/>
    <cellStyle name="Énfasis3 11" xfId="398" xr:uid="{00000000-0005-0000-0000-00007A020000}"/>
    <cellStyle name="Énfasis3 12" xfId="399" xr:uid="{00000000-0005-0000-0000-00007B020000}"/>
    <cellStyle name="Énfasis3 13" xfId="400" xr:uid="{00000000-0005-0000-0000-00007C020000}"/>
    <cellStyle name="Énfasis3 14" xfId="401" xr:uid="{00000000-0005-0000-0000-00007D020000}"/>
    <cellStyle name="Énfasis3 15" xfId="402" xr:uid="{00000000-0005-0000-0000-00007E020000}"/>
    <cellStyle name="Énfasis3 16" xfId="403" xr:uid="{00000000-0005-0000-0000-00007F020000}"/>
    <cellStyle name="Énfasis3 2" xfId="404" xr:uid="{00000000-0005-0000-0000-000080020000}"/>
    <cellStyle name="Énfasis3 3" xfId="405" xr:uid="{00000000-0005-0000-0000-000081020000}"/>
    <cellStyle name="Énfasis3 4" xfId="406" xr:uid="{00000000-0005-0000-0000-000082020000}"/>
    <cellStyle name="Énfasis3 5" xfId="407" xr:uid="{00000000-0005-0000-0000-000083020000}"/>
    <cellStyle name="Énfasis3 6" xfId="408" xr:uid="{00000000-0005-0000-0000-000084020000}"/>
    <cellStyle name="Énfasis3 7" xfId="409" xr:uid="{00000000-0005-0000-0000-000085020000}"/>
    <cellStyle name="Énfasis3 8" xfId="410" xr:uid="{00000000-0005-0000-0000-000086020000}"/>
    <cellStyle name="Énfasis3 9" xfId="411" xr:uid="{00000000-0005-0000-0000-000087020000}"/>
    <cellStyle name="Énfasis4 - 20%" xfId="412" xr:uid="{00000000-0005-0000-0000-000088020000}"/>
    <cellStyle name="Énfasis4 - 40%" xfId="413" xr:uid="{00000000-0005-0000-0000-000089020000}"/>
    <cellStyle name="Énfasis4 - 60%" xfId="414" xr:uid="{00000000-0005-0000-0000-00008A020000}"/>
    <cellStyle name="Énfasis4 10" xfId="415" xr:uid="{00000000-0005-0000-0000-00008B020000}"/>
    <cellStyle name="Énfasis4 11" xfId="416" xr:uid="{00000000-0005-0000-0000-00008C020000}"/>
    <cellStyle name="Énfasis4 12" xfId="417" xr:uid="{00000000-0005-0000-0000-00008D020000}"/>
    <cellStyle name="Énfasis4 13" xfId="418" xr:uid="{00000000-0005-0000-0000-00008E020000}"/>
    <cellStyle name="Énfasis4 14" xfId="419" xr:uid="{00000000-0005-0000-0000-00008F020000}"/>
    <cellStyle name="Énfasis4 15" xfId="420" xr:uid="{00000000-0005-0000-0000-000090020000}"/>
    <cellStyle name="Énfasis4 16" xfId="421" xr:uid="{00000000-0005-0000-0000-000091020000}"/>
    <cellStyle name="Énfasis4 2" xfId="422" xr:uid="{00000000-0005-0000-0000-000092020000}"/>
    <cellStyle name="Énfasis4 3" xfId="423" xr:uid="{00000000-0005-0000-0000-000093020000}"/>
    <cellStyle name="Énfasis4 4" xfId="424" xr:uid="{00000000-0005-0000-0000-000094020000}"/>
    <cellStyle name="Énfasis4 5" xfId="425" xr:uid="{00000000-0005-0000-0000-000095020000}"/>
    <cellStyle name="Énfasis4 6" xfId="426" xr:uid="{00000000-0005-0000-0000-000096020000}"/>
    <cellStyle name="Énfasis4 7" xfId="427" xr:uid="{00000000-0005-0000-0000-000097020000}"/>
    <cellStyle name="Énfasis4 8" xfId="428" xr:uid="{00000000-0005-0000-0000-000098020000}"/>
    <cellStyle name="Énfasis4 9" xfId="429" xr:uid="{00000000-0005-0000-0000-000099020000}"/>
    <cellStyle name="Énfasis5 - 20%" xfId="430" xr:uid="{00000000-0005-0000-0000-00009A020000}"/>
    <cellStyle name="Énfasis5 - 40%" xfId="431" xr:uid="{00000000-0005-0000-0000-00009B020000}"/>
    <cellStyle name="Énfasis5 - 60%" xfId="432" xr:uid="{00000000-0005-0000-0000-00009C020000}"/>
    <cellStyle name="Énfasis5 10" xfId="433" xr:uid="{00000000-0005-0000-0000-00009D020000}"/>
    <cellStyle name="Énfasis5 11" xfId="434" xr:uid="{00000000-0005-0000-0000-00009E020000}"/>
    <cellStyle name="Énfasis5 12" xfId="435" xr:uid="{00000000-0005-0000-0000-00009F020000}"/>
    <cellStyle name="Énfasis5 13" xfId="436" xr:uid="{00000000-0005-0000-0000-0000A0020000}"/>
    <cellStyle name="Énfasis5 14" xfId="437" xr:uid="{00000000-0005-0000-0000-0000A1020000}"/>
    <cellStyle name="Énfasis5 15" xfId="438" xr:uid="{00000000-0005-0000-0000-0000A2020000}"/>
    <cellStyle name="Énfasis5 16" xfId="439" xr:uid="{00000000-0005-0000-0000-0000A3020000}"/>
    <cellStyle name="Énfasis5 2" xfId="440" xr:uid="{00000000-0005-0000-0000-0000A4020000}"/>
    <cellStyle name="Énfasis5 3" xfId="441" xr:uid="{00000000-0005-0000-0000-0000A5020000}"/>
    <cellStyle name="Énfasis5 4" xfId="442" xr:uid="{00000000-0005-0000-0000-0000A6020000}"/>
    <cellStyle name="Énfasis5 5" xfId="443" xr:uid="{00000000-0005-0000-0000-0000A7020000}"/>
    <cellStyle name="Énfasis5 6" xfId="444" xr:uid="{00000000-0005-0000-0000-0000A8020000}"/>
    <cellStyle name="Énfasis5 7" xfId="445" xr:uid="{00000000-0005-0000-0000-0000A9020000}"/>
    <cellStyle name="Énfasis5 8" xfId="446" xr:uid="{00000000-0005-0000-0000-0000AA020000}"/>
    <cellStyle name="Énfasis5 9" xfId="447" xr:uid="{00000000-0005-0000-0000-0000AB020000}"/>
    <cellStyle name="Énfasis6 - 20%" xfId="448" xr:uid="{00000000-0005-0000-0000-0000AC020000}"/>
    <cellStyle name="Énfasis6 - 40%" xfId="449" xr:uid="{00000000-0005-0000-0000-0000AD020000}"/>
    <cellStyle name="Énfasis6 - 60%" xfId="450" xr:uid="{00000000-0005-0000-0000-0000AE020000}"/>
    <cellStyle name="Énfasis6 10" xfId="451" xr:uid="{00000000-0005-0000-0000-0000AF020000}"/>
    <cellStyle name="Énfasis6 11" xfId="452" xr:uid="{00000000-0005-0000-0000-0000B0020000}"/>
    <cellStyle name="Énfasis6 12" xfId="453" xr:uid="{00000000-0005-0000-0000-0000B1020000}"/>
    <cellStyle name="Énfasis6 13" xfId="454" xr:uid="{00000000-0005-0000-0000-0000B2020000}"/>
    <cellStyle name="Énfasis6 14" xfId="455" xr:uid="{00000000-0005-0000-0000-0000B3020000}"/>
    <cellStyle name="Énfasis6 15" xfId="456" xr:uid="{00000000-0005-0000-0000-0000B4020000}"/>
    <cellStyle name="Énfasis6 16" xfId="457" xr:uid="{00000000-0005-0000-0000-0000B5020000}"/>
    <cellStyle name="Énfasis6 2" xfId="458" xr:uid="{00000000-0005-0000-0000-0000B6020000}"/>
    <cellStyle name="Énfasis6 3" xfId="459" xr:uid="{00000000-0005-0000-0000-0000B7020000}"/>
    <cellStyle name="Énfasis6 4" xfId="460" xr:uid="{00000000-0005-0000-0000-0000B8020000}"/>
    <cellStyle name="Énfasis6 5" xfId="461" xr:uid="{00000000-0005-0000-0000-0000B9020000}"/>
    <cellStyle name="Énfasis6 6" xfId="462" xr:uid="{00000000-0005-0000-0000-0000BA020000}"/>
    <cellStyle name="Énfasis6 7" xfId="463" xr:uid="{00000000-0005-0000-0000-0000BB020000}"/>
    <cellStyle name="Énfasis6 8" xfId="464" xr:uid="{00000000-0005-0000-0000-0000BC020000}"/>
    <cellStyle name="Énfasis6 9" xfId="465" xr:uid="{00000000-0005-0000-0000-0000BD020000}"/>
    <cellStyle name="Enter Currency (0)" xfId="466" xr:uid="{00000000-0005-0000-0000-0000BE020000}"/>
    <cellStyle name="Enter Currency (0) 2" xfId="467" xr:uid="{00000000-0005-0000-0000-0000BF020000}"/>
    <cellStyle name="Enter Currency (2)" xfId="468" xr:uid="{00000000-0005-0000-0000-0000C0020000}"/>
    <cellStyle name="Enter Units (0)" xfId="469" xr:uid="{00000000-0005-0000-0000-0000C1020000}"/>
    <cellStyle name="Enter Units (0) 2" xfId="470" xr:uid="{00000000-0005-0000-0000-0000C2020000}"/>
    <cellStyle name="Enter Units (1)" xfId="471" xr:uid="{00000000-0005-0000-0000-0000C3020000}"/>
    <cellStyle name="Enter Units (1) 2" xfId="472" xr:uid="{00000000-0005-0000-0000-0000C4020000}"/>
    <cellStyle name="Enter Units (2)" xfId="473" xr:uid="{00000000-0005-0000-0000-0000C5020000}"/>
    <cellStyle name="Entrada 2" xfId="474" xr:uid="{00000000-0005-0000-0000-0000C6020000}"/>
    <cellStyle name="Entrada 2 10" xfId="6840" xr:uid="{78A87CEB-0B5E-48C5-8BC9-B80144BA35CB}"/>
    <cellStyle name="Entrada 2 10 2" xfId="10003" xr:uid="{D1D1A893-A1ED-4919-A47D-9F73EB77B2A5}"/>
    <cellStyle name="Entrada 2 11" xfId="7135" xr:uid="{777D7B66-443F-400D-87FB-7BEAF9012B43}"/>
    <cellStyle name="Entrada 2 11 2" xfId="10276" xr:uid="{EF3FE70F-AB32-4EDA-B7AF-DB866B34046E}"/>
    <cellStyle name="Entrada 2 12" xfId="7385" xr:uid="{F3F2316C-335A-4FA1-BF58-06C44AADD0E4}"/>
    <cellStyle name="Entrada 2 12 2" xfId="10522" xr:uid="{E398BD39-207E-416C-BE08-EF44D9E58412}"/>
    <cellStyle name="Entrada 2 13" xfId="7393" xr:uid="{893BB93A-A0BE-4575-823D-EFCB8BF37451}"/>
    <cellStyle name="Entrada 2 13 2" xfId="10529" xr:uid="{748FBF86-90EB-4D57-9023-093B6BCFB587}"/>
    <cellStyle name="Entrada 2 14" xfId="4415" xr:uid="{2BDE25A7-9F4F-45D8-B1A6-979C7180407F}"/>
    <cellStyle name="Entrada 2 15" xfId="4424" xr:uid="{1A35C154-6D36-4068-84C4-59B268889116}"/>
    <cellStyle name="Entrada 2 16" xfId="10983" xr:uid="{D9EB9361-1066-4E8B-B827-2D2B16E50CF4}"/>
    <cellStyle name="Entrada 2 17" xfId="11326" xr:uid="{697B4367-8147-4A34-ACED-9DB048D54318}"/>
    <cellStyle name="Entrada 2 18" xfId="11333" xr:uid="{6AF08EF9-FA51-4D48-A85C-AF8F31DA09C1}"/>
    <cellStyle name="Entrada 2 19" xfId="11321" xr:uid="{9C2ADC1C-5675-4C6F-AC65-459EB702F82E}"/>
    <cellStyle name="Entrada 2 2" xfId="1492" xr:uid="{00000000-0005-0000-0000-0000C7020000}"/>
    <cellStyle name="Entrada 2 2 2" xfId="3602" xr:uid="{F3C92416-8D3C-4BA2-ACFF-C336227355C2}"/>
    <cellStyle name="Entrada 2 2 3" xfId="4908" xr:uid="{FCC716A4-2C74-4F88-8B27-3784D134A73F}"/>
    <cellStyle name="Entrada 2 2 4" xfId="8118" xr:uid="{008B1077-1BF5-46BF-940F-B764B03C4DEC}"/>
    <cellStyle name="Entrada 2 20" xfId="11873" xr:uid="{07A2DECF-504D-4A76-9D50-101C8EEA07A4}"/>
    <cellStyle name="Entrada 2 21" xfId="12074" xr:uid="{DBE94321-AECF-4801-A22D-3F6C8F4C5C77}"/>
    <cellStyle name="Entrada 2 22" xfId="12447" xr:uid="{C5A3E4AA-EB48-434D-A6BC-0C8F2B95F340}"/>
    <cellStyle name="Entrada 2 23" xfId="12458" xr:uid="{528D8BF0-F8AF-4A61-9EDF-75D0A8ACD3DB}"/>
    <cellStyle name="Entrada 2 24" xfId="12451" xr:uid="{8BE40487-E15D-4881-9E3B-DC0F74C7C7FD}"/>
    <cellStyle name="Entrada 2 25" xfId="13128" xr:uid="{FB9B5F61-284A-4FBB-B351-00D486C1525D}"/>
    <cellStyle name="Entrada 2 26" xfId="13136" xr:uid="{4A58F15C-0EBC-46FF-AAAB-4EBCA50CDD55}"/>
    <cellStyle name="Entrada 2 3" xfId="1739" xr:uid="{00000000-0005-0000-0000-0000C8020000}"/>
    <cellStyle name="Entrada 2 3 2" xfId="3840" xr:uid="{CDDF8A7E-2A46-4675-B97E-E0ACAACEAF34}"/>
    <cellStyle name="Entrada 2 3 3" xfId="5160" xr:uid="{2946E813-07B1-47EA-9C01-7AA1A8D4C3BA}"/>
    <cellStyle name="Entrada 2 3 4" xfId="8357" xr:uid="{AEDC869F-0901-486D-B944-6DA4E52B3F54}"/>
    <cellStyle name="Entrada 2 4" xfId="1997" xr:uid="{00000000-0005-0000-0000-0000C9020000}"/>
    <cellStyle name="Entrada 2 4 2" xfId="4103" xr:uid="{CE4C7F26-A3E3-4A05-A66D-EFD6D619CFD3}"/>
    <cellStyle name="Entrada 2 4 3" xfId="5401" xr:uid="{BC49ADEA-8B6A-423D-8DEF-EBB17FE4397D}"/>
    <cellStyle name="Entrada 2 4 4" xfId="8593" xr:uid="{281B4350-7A0B-4786-8E54-EE18E3D2E489}"/>
    <cellStyle name="Entrada 2 5" xfId="2253" xr:uid="{C90E4B2C-2396-4D96-816E-9FC3C6967A7D}"/>
    <cellStyle name="Entrada 2 5 2" xfId="5637" xr:uid="{0ABA8DEF-60C2-43DB-8FB7-0741852775AE}"/>
    <cellStyle name="Entrada 2 5 3" xfId="8829" xr:uid="{92F72F6A-F8A4-48D2-B450-6461D4B24C78}"/>
    <cellStyle name="Entrada 2 6" xfId="2489" xr:uid="{9320F4B6-FF88-4AC6-9FB7-30D570DB7DDC}"/>
    <cellStyle name="Entrada 2 6 2" xfId="5867" xr:uid="{2A2571B5-97F3-4C29-9F42-525712420BE6}"/>
    <cellStyle name="Entrada 2 6 3" xfId="9059" xr:uid="{A11E4B75-73A9-4B21-B5A5-6531A5FB9B2A}"/>
    <cellStyle name="Entrada 2 7" xfId="2730" xr:uid="{8343B1B3-8714-4A51-BE2F-A202E64F5B27}"/>
    <cellStyle name="Entrada 2 7 2" xfId="6099" xr:uid="{1215082A-9A7E-4A65-AAAE-7639AC212538}"/>
    <cellStyle name="Entrada 2 7 3" xfId="9289" xr:uid="{7B7E9EAB-505B-45C2-A0DE-86FC169596D2}"/>
    <cellStyle name="Entrada 2 8" xfId="2964" xr:uid="{090F418D-F544-43BC-A312-283838934A86}"/>
    <cellStyle name="Entrada 2 8 2" xfId="6332" xr:uid="{E18190C8-B8CC-432B-BC39-79780DC0931D}"/>
    <cellStyle name="Entrada 2 8 3" xfId="9519" xr:uid="{21D5CA27-7C88-45A8-9A6F-BE60DBB8DC51}"/>
    <cellStyle name="Entrada 2 9" xfId="3177" xr:uid="{BC42DA15-90D4-4C30-AEAB-EDDBB7720C8F}"/>
    <cellStyle name="Entrada 2 9 2" xfId="6579" xr:uid="{FE9502C9-8FD1-4BC5-BA9B-62987441EBA3}"/>
    <cellStyle name="Entrada 2 9 3" xfId="9761" xr:uid="{776FC431-D974-41FD-AF02-1E5AC8252CED}"/>
    <cellStyle name="Entrada 3" xfId="475" xr:uid="{00000000-0005-0000-0000-0000CA020000}"/>
    <cellStyle name="Entrada 3 10" xfId="6841" xr:uid="{0B8A4212-AF4B-4369-BD2B-64E1DD9F9C4A}"/>
    <cellStyle name="Entrada 3 10 2" xfId="10004" xr:uid="{C3A120EB-ECAF-49B0-A305-C3952B5CBA85}"/>
    <cellStyle name="Entrada 3 11" xfId="7136" xr:uid="{4091F109-F5D6-4BF9-A2A7-B79048AC07FB}"/>
    <cellStyle name="Entrada 3 11 2" xfId="10277" xr:uid="{9094143D-EA12-4FCB-A7F4-4971DF51BBC7}"/>
    <cellStyle name="Entrada 3 12" xfId="7386" xr:uid="{3D9E3C96-E3A8-434B-9CF8-F442F4E65C6D}"/>
    <cellStyle name="Entrada 3 12 2" xfId="10523" xr:uid="{8D5AE9F0-24F5-49BF-8FA2-1DF7AB6DB2BE}"/>
    <cellStyle name="Entrada 3 13" xfId="7392" xr:uid="{03BC57AD-912F-4AF8-AE07-A5B632F8264E}"/>
    <cellStyle name="Entrada 3 13 2" xfId="10528" xr:uid="{E43B25AC-FA87-4B3D-B860-C0DD51F1FDA0}"/>
    <cellStyle name="Entrada 3 14" xfId="4416" xr:uid="{77959B03-9B77-4689-A36F-937957459E70}"/>
    <cellStyle name="Entrada 3 15" xfId="4915" xr:uid="{8D6EF7E8-D21C-4E7C-8B69-7B656E8843DA}"/>
    <cellStyle name="Entrada 3 16" xfId="10984" xr:uid="{26742B85-B03C-4DF1-8F46-107DDEABC57D}"/>
    <cellStyle name="Entrada 3 17" xfId="11327" xr:uid="{B7B55191-E137-4CC5-8FB2-835333831FBB}"/>
    <cellStyle name="Entrada 3 18" xfId="11332" xr:uid="{D301D301-3487-466A-A5B9-2D6F31995F28}"/>
    <cellStyle name="Entrada 3 19" xfId="11322" xr:uid="{0A5C6058-D1BE-4741-865B-834EACEB23D2}"/>
    <cellStyle name="Entrada 3 2" xfId="1493" xr:uid="{00000000-0005-0000-0000-0000CB020000}"/>
    <cellStyle name="Entrada 3 2 2" xfId="3603" xr:uid="{014607FC-7630-4E71-A579-FBACC6E57B12}"/>
    <cellStyle name="Entrada 3 2 3" xfId="4909" xr:uid="{7C76A053-24F8-4430-ADAD-D0BBC01D1F51}"/>
    <cellStyle name="Entrada 3 2 4" xfId="8119" xr:uid="{172CF988-1867-4488-B5BE-BBC10992D38A}"/>
    <cellStyle name="Entrada 3 20" xfId="11874" xr:uid="{BE2495FA-F5D2-43E2-8E07-A59AC0505CD3}"/>
    <cellStyle name="Entrada 3 21" xfId="12075" xr:uid="{AC375CE1-1E79-4D97-A257-012C26BC664A}"/>
    <cellStyle name="Entrada 3 22" xfId="12448" xr:uid="{2CB63858-D8D1-4943-A67E-FAB014E99190}"/>
    <cellStyle name="Entrada 3 23" xfId="12457" xr:uid="{DDEF67CF-B510-4F15-B051-67EAA714AC42}"/>
    <cellStyle name="Entrada 3 24" xfId="12452" xr:uid="{C82176D7-F95C-40EF-9707-E648A8DFEF06}"/>
    <cellStyle name="Entrada 3 25" xfId="13129" xr:uid="{1176D0C7-E5E7-442A-B4E6-8E5541C948B8}"/>
    <cellStyle name="Entrada 3 26" xfId="13135" xr:uid="{D07B1B44-D69C-4B6B-9C95-715664E5209F}"/>
    <cellStyle name="Entrada 3 3" xfId="1740" xr:uid="{00000000-0005-0000-0000-0000CC020000}"/>
    <cellStyle name="Entrada 3 3 2" xfId="3841" xr:uid="{D7A19A9F-9B69-4E85-8C88-94ED4803E1E2}"/>
    <cellStyle name="Entrada 3 3 3" xfId="5161" xr:uid="{FC1CB32A-F23B-46B9-90CE-6D78CC0492FD}"/>
    <cellStyle name="Entrada 3 3 4" xfId="8358" xr:uid="{8A437C74-344A-4A63-B84C-EDEE3EC03BA2}"/>
    <cellStyle name="Entrada 3 4" xfId="1998" xr:uid="{00000000-0005-0000-0000-0000CD020000}"/>
    <cellStyle name="Entrada 3 4 2" xfId="4104" xr:uid="{72124A68-D11D-45B1-A932-128E602042C2}"/>
    <cellStyle name="Entrada 3 4 3" xfId="5402" xr:uid="{26976382-9719-4946-8945-83D48D66D462}"/>
    <cellStyle name="Entrada 3 4 4" xfId="8594" xr:uid="{03CD086F-64AD-43F5-90D4-AFECB2C3CFC2}"/>
    <cellStyle name="Entrada 3 5" xfId="2254" xr:uid="{AE7B0CF4-7CC6-4B15-AD76-5F3F0473F139}"/>
    <cellStyle name="Entrada 3 5 2" xfId="5638" xr:uid="{0FF1C612-52F8-485D-B63C-1AD89083B4F8}"/>
    <cellStyle name="Entrada 3 5 3" xfId="8830" xr:uid="{D106BDE7-E696-42C1-8DCA-7A70C4544472}"/>
    <cellStyle name="Entrada 3 6" xfId="2490" xr:uid="{6BAFEC80-D776-40EB-BB3C-2978486AFC17}"/>
    <cellStyle name="Entrada 3 6 2" xfId="5868" xr:uid="{43BF66A6-1259-461F-A5F0-3B602173B402}"/>
    <cellStyle name="Entrada 3 6 3" xfId="9060" xr:uid="{7758E30D-BB7B-4E45-B3F5-B96004DB17E1}"/>
    <cellStyle name="Entrada 3 7" xfId="2731" xr:uid="{118976C8-71B5-40F6-B440-AEC3710ED758}"/>
    <cellStyle name="Entrada 3 7 2" xfId="6100" xr:uid="{A989373D-747F-4718-82E1-6639F95C5596}"/>
    <cellStyle name="Entrada 3 7 3" xfId="9290" xr:uid="{A6A3EB7D-CAC5-4053-8CD1-E35C4C3B2106}"/>
    <cellStyle name="Entrada 3 8" xfId="2965" xr:uid="{0A4CB594-109A-4E14-9325-CDDE4E9A75DA}"/>
    <cellStyle name="Entrada 3 8 2" xfId="6333" xr:uid="{F8AE47E3-1DC5-4167-88C0-B0A642051584}"/>
    <cellStyle name="Entrada 3 8 3" xfId="9520" xr:uid="{07B47E9D-4F1B-46A3-B9E1-EA179E021A9E}"/>
    <cellStyle name="Entrada 3 9" xfId="3178" xr:uid="{A430C830-3CBE-4322-84C1-18145054DD8E}"/>
    <cellStyle name="Entrada 3 9 2" xfId="6580" xr:uid="{A60E6663-94F2-44CB-B0B0-DE9F09ED7EF3}"/>
    <cellStyle name="Entrada 3 9 3" xfId="9762" xr:uid="{F7FEAD9C-8AC0-4B21-95FB-781CDE8F56CE}"/>
    <cellStyle name="Entrada 4" xfId="476" xr:uid="{00000000-0005-0000-0000-0000CE020000}"/>
    <cellStyle name="Entrada 4 10" xfId="6842" xr:uid="{5B8560A4-A560-45DD-BF87-0F1633BC7695}"/>
    <cellStyle name="Entrada 4 10 2" xfId="10005" xr:uid="{7AD4560F-FAFA-4564-A29C-85CBD0C143E4}"/>
    <cellStyle name="Entrada 4 11" xfId="7137" xr:uid="{CABAAA0E-93B8-45F0-A7B4-1554E1641E33}"/>
    <cellStyle name="Entrada 4 11 2" xfId="10278" xr:uid="{A40C5194-8183-45B9-8454-049296D728DF}"/>
    <cellStyle name="Entrada 4 12" xfId="7387" xr:uid="{88603A9E-7433-4D61-8FF4-57E501C4ADC9}"/>
    <cellStyle name="Entrada 4 12 2" xfId="10524" xr:uid="{3A1680AD-A424-4963-8BD7-9FBA754A2FBC}"/>
    <cellStyle name="Entrada 4 13" xfId="7391" xr:uid="{8543F9B4-477A-45ED-9331-9DDC731937E9}"/>
    <cellStyle name="Entrada 4 13 2" xfId="10527" xr:uid="{18B2BC82-9066-4E1D-80D7-30CACB752DE9}"/>
    <cellStyle name="Entrada 4 14" xfId="4417" xr:uid="{EEE289CE-0F87-4BB7-9E38-F1EF7DCF4559}"/>
    <cellStyle name="Entrada 4 15" xfId="4423" xr:uid="{71AA3C99-5E19-451B-AA97-F378D1A4551B}"/>
    <cellStyle name="Entrada 4 16" xfId="10985" xr:uid="{45E09F7C-BDA5-42EF-A7D5-946B2713B8EF}"/>
    <cellStyle name="Entrada 4 17" xfId="11328" xr:uid="{8A61F136-8AD3-429E-9262-DC9028F0E18A}"/>
    <cellStyle name="Entrada 4 18" xfId="11331" xr:uid="{DFC5F2DE-7F2C-48BC-9A49-76B7C5D66E8F}"/>
    <cellStyle name="Entrada 4 19" xfId="11323" xr:uid="{0475A7A8-543A-4CF0-AD1E-0FDD63000D71}"/>
    <cellStyle name="Entrada 4 2" xfId="1494" xr:uid="{00000000-0005-0000-0000-0000CF020000}"/>
    <cellStyle name="Entrada 4 2 2" xfId="3604" xr:uid="{86491F77-9CB8-4DC7-81EF-EB19761A2DE7}"/>
    <cellStyle name="Entrada 4 2 3" xfId="4910" xr:uid="{58258A4F-14F3-4DAE-8A15-1B8AEB30D122}"/>
    <cellStyle name="Entrada 4 2 4" xfId="8120" xr:uid="{72F428EB-6E7B-4D5A-BF4C-3B29CB4C6705}"/>
    <cellStyle name="Entrada 4 20" xfId="11875" xr:uid="{D9B83E9D-C94D-47DE-9771-2885377607DE}"/>
    <cellStyle name="Entrada 4 21" xfId="12076" xr:uid="{83C28BD0-BF80-42B8-AB6E-1BBE27986372}"/>
    <cellStyle name="Entrada 4 22" xfId="12449" xr:uid="{146F436B-0C20-4280-823E-772F85F49860}"/>
    <cellStyle name="Entrada 4 23" xfId="12456" xr:uid="{24DC420D-9143-4175-8080-EF817C25E222}"/>
    <cellStyle name="Entrada 4 24" xfId="12453" xr:uid="{19FEFF8D-9C61-42D0-844F-24E308D37C1B}"/>
    <cellStyle name="Entrada 4 25" xfId="13130" xr:uid="{FA24BFF1-0531-48B0-9133-2C2F43D32284}"/>
    <cellStyle name="Entrada 4 26" xfId="13134" xr:uid="{243E2313-B844-4915-B260-1D65B62E68B8}"/>
    <cellStyle name="Entrada 4 3" xfId="1741" xr:uid="{00000000-0005-0000-0000-0000D0020000}"/>
    <cellStyle name="Entrada 4 3 2" xfId="3842" xr:uid="{06F53E71-C2F7-476D-87DF-E0B17C4CAA71}"/>
    <cellStyle name="Entrada 4 3 3" xfId="5162" xr:uid="{CECCF0DC-2B62-473D-A651-A50F0C2256AF}"/>
    <cellStyle name="Entrada 4 3 4" xfId="8359" xr:uid="{742CAB90-C0DE-453B-A91A-01C25CA215C3}"/>
    <cellStyle name="Entrada 4 4" xfId="1999" xr:uid="{00000000-0005-0000-0000-0000D1020000}"/>
    <cellStyle name="Entrada 4 4 2" xfId="4105" xr:uid="{54C7464A-5A28-4F6E-8D2D-2FC1D0A62BAD}"/>
    <cellStyle name="Entrada 4 4 3" xfId="5403" xr:uid="{B8C74BA1-905A-4841-834C-F43AD85AB761}"/>
    <cellStyle name="Entrada 4 4 4" xfId="8595" xr:uid="{5F3DF85C-1D46-489E-B856-DBB370E35BF5}"/>
    <cellStyle name="Entrada 4 5" xfId="2255" xr:uid="{82AE71BD-9617-4E5C-9C4A-3922740F188C}"/>
    <cellStyle name="Entrada 4 5 2" xfId="5639" xr:uid="{AA101C37-DE66-4EAC-841A-011B0919E155}"/>
    <cellStyle name="Entrada 4 5 3" xfId="8831" xr:uid="{330E2661-C653-4356-8531-8BE6E09FB725}"/>
    <cellStyle name="Entrada 4 6" xfId="2491" xr:uid="{3623218E-5573-4B7A-8265-AF8DAC9EC008}"/>
    <cellStyle name="Entrada 4 6 2" xfId="5869" xr:uid="{691C74A4-673D-480B-9165-DBB93757953E}"/>
    <cellStyle name="Entrada 4 6 3" xfId="9061" xr:uid="{AE10A70E-6342-4374-BE76-3C1F40FDDB71}"/>
    <cellStyle name="Entrada 4 7" xfId="2732" xr:uid="{B1A6AB19-E15B-4210-9A0E-061CA8A48C4F}"/>
    <cellStyle name="Entrada 4 7 2" xfId="6101" xr:uid="{669762E1-FA12-4E05-BC92-135F3B672777}"/>
    <cellStyle name="Entrada 4 7 3" xfId="9291" xr:uid="{9B0A3A6A-AA5D-4224-9410-12DF2EA73A92}"/>
    <cellStyle name="Entrada 4 8" xfId="2966" xr:uid="{4ADEA9E4-2D25-4EC6-A8CA-2CF4B616ED32}"/>
    <cellStyle name="Entrada 4 8 2" xfId="6334" xr:uid="{9E9186B9-C1B8-4AF4-AF41-4408FD67432B}"/>
    <cellStyle name="Entrada 4 8 3" xfId="9521" xr:uid="{DFD18F55-FFF5-404B-815B-4F200C9F1D97}"/>
    <cellStyle name="Entrada 4 9" xfId="3179" xr:uid="{80C429C9-4619-4399-8C58-CFE7975D113E}"/>
    <cellStyle name="Entrada 4 9 2" xfId="6581" xr:uid="{B1E4DE8D-14A1-414C-A610-D8FDBE9EBC3F}"/>
    <cellStyle name="Entrada 4 9 3" xfId="9763" xr:uid="{2DB92F88-4979-446F-B97C-315D33980C33}"/>
    <cellStyle name="Entrada 5" xfId="477" xr:uid="{00000000-0005-0000-0000-0000D2020000}"/>
    <cellStyle name="Entrada 5 10" xfId="6843" xr:uid="{CFD80367-3D49-4026-9C94-BA4DA9D48A19}"/>
    <cellStyle name="Entrada 5 10 2" xfId="10006" xr:uid="{B0240CB6-B50C-4B68-98DF-F8D00A9E54DB}"/>
    <cellStyle name="Entrada 5 11" xfId="7138" xr:uid="{554FBE60-5591-47D1-80E0-F85C657AD93F}"/>
    <cellStyle name="Entrada 5 11 2" xfId="10279" xr:uid="{FB953EBF-A116-474E-A0D2-D4BBE566E0FE}"/>
    <cellStyle name="Entrada 5 12" xfId="7388" xr:uid="{F80F6190-0386-46BF-8FD9-1766F54ACFD0}"/>
    <cellStyle name="Entrada 5 12 2" xfId="10525" xr:uid="{54069863-DDF5-4313-BC42-B71362F2E49E}"/>
    <cellStyle name="Entrada 5 13" xfId="7390" xr:uid="{5926A390-A40C-43D2-8075-C008F4F6D209}"/>
    <cellStyle name="Entrada 5 13 2" xfId="10526" xr:uid="{20C56ABA-669B-4E40-B588-10B5A22D7134}"/>
    <cellStyle name="Entrada 5 14" xfId="4418" xr:uid="{003EF55B-B4D8-47DD-A886-551542CD74E1}"/>
    <cellStyle name="Entrada 5 15" xfId="4914" xr:uid="{47E52EBA-6816-4B3E-A974-49FE42DEA289}"/>
    <cellStyle name="Entrada 5 16" xfId="10986" xr:uid="{070F6FA5-4D44-4DFB-93D7-3340E1710B91}"/>
    <cellStyle name="Entrada 5 17" xfId="11329" xr:uid="{C2669795-6F46-499E-ADD9-5017ED3E1794}"/>
    <cellStyle name="Entrada 5 18" xfId="11330" xr:uid="{74201AF6-07F1-4BF9-889B-8F1060CB881D}"/>
    <cellStyle name="Entrada 5 19" xfId="11324" xr:uid="{1F797F72-49FE-4408-AD91-A9C1BBCFBE08}"/>
    <cellStyle name="Entrada 5 2" xfId="1495" xr:uid="{00000000-0005-0000-0000-0000D3020000}"/>
    <cellStyle name="Entrada 5 2 2" xfId="3605" xr:uid="{F7623BDC-A7C8-4D51-9A5E-9A23CE4C4E23}"/>
    <cellStyle name="Entrada 5 2 3" xfId="4911" xr:uid="{ED5B6962-47ED-488F-B18D-91C790FF2825}"/>
    <cellStyle name="Entrada 5 2 4" xfId="8121" xr:uid="{0DE3FD36-9E86-4933-96E6-002B90BCEABB}"/>
    <cellStyle name="Entrada 5 20" xfId="11876" xr:uid="{037E643B-A695-4726-943B-21CD224462BD}"/>
    <cellStyle name="Entrada 5 21" xfId="12077" xr:uid="{44A56D14-44EE-460B-9253-7F5FEAA1B9F1}"/>
    <cellStyle name="Entrada 5 22" xfId="12450" xr:uid="{6C5D9E16-1F24-4930-8A6E-DFF3AAD93F6F}"/>
    <cellStyle name="Entrada 5 23" xfId="12455" xr:uid="{6A11DAED-42AD-469F-ACDA-5D4E46C0435A}"/>
    <cellStyle name="Entrada 5 24" xfId="12454" xr:uid="{8DA8321D-7E33-459E-9914-DBF6D60079E0}"/>
    <cellStyle name="Entrada 5 25" xfId="13131" xr:uid="{3BE5F171-8A0B-4311-BB4E-AD06A32B9F9D}"/>
    <cellStyle name="Entrada 5 26" xfId="13133" xr:uid="{F921EB21-B8AD-425C-B15A-F876B4643D1B}"/>
    <cellStyle name="Entrada 5 3" xfId="1742" xr:uid="{00000000-0005-0000-0000-0000D4020000}"/>
    <cellStyle name="Entrada 5 3 2" xfId="3843" xr:uid="{B7F9AC08-FA17-4FB5-AB68-5D302B17B8EB}"/>
    <cellStyle name="Entrada 5 3 3" xfId="5163" xr:uid="{92657941-3626-4A39-80AA-9E72D0182D95}"/>
    <cellStyle name="Entrada 5 3 4" xfId="8360" xr:uid="{61588A04-571B-4405-B82D-E4F8171AE50E}"/>
    <cellStyle name="Entrada 5 4" xfId="2000" xr:uid="{00000000-0005-0000-0000-0000D5020000}"/>
    <cellStyle name="Entrada 5 4 2" xfId="4106" xr:uid="{D1168670-8A6F-4B42-AF8F-884DE7CC388D}"/>
    <cellStyle name="Entrada 5 4 3" xfId="5404" xr:uid="{8BE113C4-A82B-4363-A29E-F8904CBC2D2A}"/>
    <cellStyle name="Entrada 5 4 4" xfId="8596" xr:uid="{CDD609FC-8A4F-444A-85D6-8A2A11C6BC81}"/>
    <cellStyle name="Entrada 5 5" xfId="2256" xr:uid="{F4B8111F-8A73-4217-826A-9575D3F3133C}"/>
    <cellStyle name="Entrada 5 5 2" xfId="5640" xr:uid="{5FB2FA01-39E3-4EC0-895F-A0F51E322F22}"/>
    <cellStyle name="Entrada 5 5 3" xfId="8832" xr:uid="{9876EE67-520F-4D02-8427-937800700A9B}"/>
    <cellStyle name="Entrada 5 6" xfId="2492" xr:uid="{1BC5B563-E223-4DD6-8601-812CCF2D522E}"/>
    <cellStyle name="Entrada 5 6 2" xfId="5870" xr:uid="{C5C2C45A-5D37-479A-95D7-A3AE3468D849}"/>
    <cellStyle name="Entrada 5 6 3" xfId="9062" xr:uid="{FAB1DCD8-FFBB-4242-BF8F-76115D5374A0}"/>
    <cellStyle name="Entrada 5 7" xfId="2733" xr:uid="{D0954E80-EE5B-4CFC-BC80-032C16822416}"/>
    <cellStyle name="Entrada 5 7 2" xfId="6102" xr:uid="{F8F4A508-FFC2-4572-B858-424F07FD5ED6}"/>
    <cellStyle name="Entrada 5 7 3" xfId="9292" xr:uid="{ED59E523-98B0-4857-8403-74CE951995CB}"/>
    <cellStyle name="Entrada 5 8" xfId="2967" xr:uid="{88D15636-5E4F-44F7-AC4A-D5476737AFF3}"/>
    <cellStyle name="Entrada 5 8 2" xfId="6335" xr:uid="{6FAD2EB4-471E-49D2-A0EC-60F569010E78}"/>
    <cellStyle name="Entrada 5 8 3" xfId="9522" xr:uid="{D8394270-2F32-483F-A32A-53ED3C4D6CC4}"/>
    <cellStyle name="Entrada 5 9" xfId="3180" xr:uid="{8663DECE-4537-41D7-9B3B-39C140B22ACD}"/>
    <cellStyle name="Entrada 5 9 2" xfId="6582" xr:uid="{39ABD835-4599-4CD2-8A1E-C54C351E11C1}"/>
    <cellStyle name="Entrada 5 9 3" xfId="9764" xr:uid="{416E0265-0A18-4DBC-9785-189E67DD7AB1}"/>
    <cellStyle name="est" xfId="478" xr:uid="{00000000-0005-0000-0000-0000D6020000}"/>
    <cellStyle name="est 2" xfId="479" xr:uid="{00000000-0005-0000-0000-0000D7020000}"/>
    <cellStyle name="est 3" xfId="480" xr:uid="{00000000-0005-0000-0000-0000D8020000}"/>
    <cellStyle name="est 4" xfId="481" xr:uid="{00000000-0005-0000-0000-0000D9020000}"/>
    <cellStyle name="est 5" xfId="482" xr:uid="{00000000-0005-0000-0000-0000DA020000}"/>
    <cellStyle name="est 6" xfId="483" xr:uid="{00000000-0005-0000-0000-0000DB020000}"/>
    <cellStyle name="est 7" xfId="484" xr:uid="{00000000-0005-0000-0000-0000DC020000}"/>
    <cellStyle name="est 7 2" xfId="485" xr:uid="{00000000-0005-0000-0000-0000DD020000}"/>
    <cellStyle name="Estilo 1" xfId="486" xr:uid="{00000000-0005-0000-0000-0000DE020000}"/>
    <cellStyle name="Estilo 1 10" xfId="487" xr:uid="{00000000-0005-0000-0000-0000DF020000}"/>
    <cellStyle name="Estilo 1 11" xfId="488" xr:uid="{00000000-0005-0000-0000-0000E0020000}"/>
    <cellStyle name="Estilo 1 12" xfId="489" xr:uid="{00000000-0005-0000-0000-0000E1020000}"/>
    <cellStyle name="Estilo 1 13" xfId="490" xr:uid="{00000000-0005-0000-0000-0000E2020000}"/>
    <cellStyle name="Estilo 1 14" xfId="491" xr:uid="{00000000-0005-0000-0000-0000E3020000}"/>
    <cellStyle name="Estilo 1 15" xfId="492" xr:uid="{00000000-0005-0000-0000-0000E4020000}"/>
    <cellStyle name="Estilo 1 2" xfId="493" xr:uid="{00000000-0005-0000-0000-0000E5020000}"/>
    <cellStyle name="Estilo 1 3" xfId="494" xr:uid="{00000000-0005-0000-0000-0000E6020000}"/>
    <cellStyle name="Estilo 1 4" xfId="495" xr:uid="{00000000-0005-0000-0000-0000E7020000}"/>
    <cellStyle name="Estilo 1 5" xfId="496" xr:uid="{00000000-0005-0000-0000-0000E8020000}"/>
    <cellStyle name="Estilo 1 6" xfId="497" xr:uid="{00000000-0005-0000-0000-0000E9020000}"/>
    <cellStyle name="Estilo 1 7" xfId="498" xr:uid="{00000000-0005-0000-0000-0000EA020000}"/>
    <cellStyle name="Estilo 1 8" xfId="499" xr:uid="{00000000-0005-0000-0000-0000EB020000}"/>
    <cellStyle name="Estilo 1 9" xfId="500" xr:uid="{00000000-0005-0000-0000-0000EC020000}"/>
    <cellStyle name="Estilo 2" xfId="501" xr:uid="{00000000-0005-0000-0000-0000ED020000}"/>
    <cellStyle name="Estilo 2 10" xfId="502" xr:uid="{00000000-0005-0000-0000-0000EE020000}"/>
    <cellStyle name="Estilo 2 11" xfId="503" xr:uid="{00000000-0005-0000-0000-0000EF020000}"/>
    <cellStyle name="Estilo 2 12" xfId="504" xr:uid="{00000000-0005-0000-0000-0000F0020000}"/>
    <cellStyle name="Estilo 2 13" xfId="505" xr:uid="{00000000-0005-0000-0000-0000F1020000}"/>
    <cellStyle name="Estilo 2 14" xfId="506" xr:uid="{00000000-0005-0000-0000-0000F2020000}"/>
    <cellStyle name="Estilo 2 2" xfId="507" xr:uid="{00000000-0005-0000-0000-0000F3020000}"/>
    <cellStyle name="Estilo 2 3" xfId="508" xr:uid="{00000000-0005-0000-0000-0000F4020000}"/>
    <cellStyle name="Estilo 2 4" xfId="509" xr:uid="{00000000-0005-0000-0000-0000F5020000}"/>
    <cellStyle name="Estilo 2 5" xfId="510" xr:uid="{00000000-0005-0000-0000-0000F6020000}"/>
    <cellStyle name="Estilo 2 6" xfId="511" xr:uid="{00000000-0005-0000-0000-0000F7020000}"/>
    <cellStyle name="Estilo 2 7" xfId="512" xr:uid="{00000000-0005-0000-0000-0000F8020000}"/>
    <cellStyle name="Estilo 2 8" xfId="513" xr:uid="{00000000-0005-0000-0000-0000F9020000}"/>
    <cellStyle name="Estilo 2 9" xfId="514" xr:uid="{00000000-0005-0000-0000-0000FA020000}"/>
    <cellStyle name="Estilo 3" xfId="515" xr:uid="{00000000-0005-0000-0000-0000FB020000}"/>
    <cellStyle name="Euro" xfId="9" xr:uid="{00000000-0005-0000-0000-0000FC020000}"/>
    <cellStyle name="Euro 10" xfId="516" xr:uid="{00000000-0005-0000-0000-0000FD020000}"/>
    <cellStyle name="Euro 11" xfId="517" xr:uid="{00000000-0005-0000-0000-0000FE020000}"/>
    <cellStyle name="Euro 12" xfId="518" xr:uid="{00000000-0005-0000-0000-0000FF020000}"/>
    <cellStyle name="Euro 13" xfId="519" xr:uid="{00000000-0005-0000-0000-000000030000}"/>
    <cellStyle name="Euro 14" xfId="520" xr:uid="{00000000-0005-0000-0000-000001030000}"/>
    <cellStyle name="Euro 15" xfId="521" xr:uid="{00000000-0005-0000-0000-000002030000}"/>
    <cellStyle name="Euro 16" xfId="29" xr:uid="{00000000-0005-0000-0000-000003030000}"/>
    <cellStyle name="Euro 2" xfId="522" xr:uid="{00000000-0005-0000-0000-000004030000}"/>
    <cellStyle name="Euro 2 2" xfId="523" xr:uid="{00000000-0005-0000-0000-000005030000}"/>
    <cellStyle name="Euro 2 2 2" xfId="524" xr:uid="{00000000-0005-0000-0000-000006030000}"/>
    <cellStyle name="Euro 2 2 2 2" xfId="525" xr:uid="{00000000-0005-0000-0000-000007030000}"/>
    <cellStyle name="Euro 2 2 2 3" xfId="526" xr:uid="{00000000-0005-0000-0000-000008030000}"/>
    <cellStyle name="Euro 2 2 3" xfId="527" xr:uid="{00000000-0005-0000-0000-000009030000}"/>
    <cellStyle name="Euro 2 3" xfId="528" xr:uid="{00000000-0005-0000-0000-00000A030000}"/>
    <cellStyle name="Euro 2 4" xfId="529" xr:uid="{00000000-0005-0000-0000-00000B030000}"/>
    <cellStyle name="Euro 3" xfId="530" xr:uid="{00000000-0005-0000-0000-00000C030000}"/>
    <cellStyle name="Euro 3 2" xfId="531" xr:uid="{00000000-0005-0000-0000-00000D030000}"/>
    <cellStyle name="Euro 3 3" xfId="532" xr:uid="{00000000-0005-0000-0000-00000E030000}"/>
    <cellStyle name="Euro 4" xfId="533" xr:uid="{00000000-0005-0000-0000-00000F030000}"/>
    <cellStyle name="Euro 5" xfId="534" xr:uid="{00000000-0005-0000-0000-000010030000}"/>
    <cellStyle name="Euro 6" xfId="535" xr:uid="{00000000-0005-0000-0000-000011030000}"/>
    <cellStyle name="Euro 7" xfId="536" xr:uid="{00000000-0005-0000-0000-000012030000}"/>
    <cellStyle name="Euro 7 2" xfId="537" xr:uid="{00000000-0005-0000-0000-000013030000}"/>
    <cellStyle name="Euro 8" xfId="538" xr:uid="{00000000-0005-0000-0000-000014030000}"/>
    <cellStyle name="Euro 9" xfId="539" xr:uid="{00000000-0005-0000-0000-000015030000}"/>
    <cellStyle name="Excel Built-in Normal" xfId="540" xr:uid="{00000000-0005-0000-0000-000016030000}"/>
    <cellStyle name="Excel Built-in Normal 3" xfId="541" xr:uid="{00000000-0005-0000-0000-000017030000}"/>
    <cellStyle name="Explanatory Text" xfId="542" xr:uid="{00000000-0005-0000-0000-000018030000}"/>
    <cellStyle name="F2" xfId="543" xr:uid="{00000000-0005-0000-0000-000019030000}"/>
    <cellStyle name="F2 2" xfId="544" xr:uid="{00000000-0005-0000-0000-00001A030000}"/>
    <cellStyle name="F2 2 2" xfId="545" xr:uid="{00000000-0005-0000-0000-00001B030000}"/>
    <cellStyle name="F3" xfId="546" xr:uid="{00000000-0005-0000-0000-00001C030000}"/>
    <cellStyle name="F3 2" xfId="547" xr:uid="{00000000-0005-0000-0000-00001D030000}"/>
    <cellStyle name="F3 3" xfId="548" xr:uid="{00000000-0005-0000-0000-00001E030000}"/>
    <cellStyle name="F3 4" xfId="549" xr:uid="{00000000-0005-0000-0000-00001F030000}"/>
    <cellStyle name="F3 5" xfId="550" xr:uid="{00000000-0005-0000-0000-000020030000}"/>
    <cellStyle name="F3 6" xfId="551" xr:uid="{00000000-0005-0000-0000-000021030000}"/>
    <cellStyle name="F3 7" xfId="552" xr:uid="{00000000-0005-0000-0000-000022030000}"/>
    <cellStyle name="F3 7 2" xfId="553" xr:uid="{00000000-0005-0000-0000-000023030000}"/>
    <cellStyle name="F3 8" xfId="554" xr:uid="{00000000-0005-0000-0000-000024030000}"/>
    <cellStyle name="F4" xfId="555" xr:uid="{00000000-0005-0000-0000-000025030000}"/>
    <cellStyle name="F4 2" xfId="556" xr:uid="{00000000-0005-0000-0000-000026030000}"/>
    <cellStyle name="F4 3" xfId="557" xr:uid="{00000000-0005-0000-0000-000027030000}"/>
    <cellStyle name="F4 4" xfId="558" xr:uid="{00000000-0005-0000-0000-000028030000}"/>
    <cellStyle name="F4 5" xfId="559" xr:uid="{00000000-0005-0000-0000-000029030000}"/>
    <cellStyle name="F4 6" xfId="560" xr:uid="{00000000-0005-0000-0000-00002A030000}"/>
    <cellStyle name="F4 7" xfId="561" xr:uid="{00000000-0005-0000-0000-00002B030000}"/>
    <cellStyle name="F4 7 2" xfId="562" xr:uid="{00000000-0005-0000-0000-00002C030000}"/>
    <cellStyle name="F4 8" xfId="563" xr:uid="{00000000-0005-0000-0000-00002D030000}"/>
    <cellStyle name="F5" xfId="564" xr:uid="{00000000-0005-0000-0000-00002E030000}"/>
    <cellStyle name="F5 2" xfId="565" xr:uid="{00000000-0005-0000-0000-00002F030000}"/>
    <cellStyle name="F5 2 2" xfId="566" xr:uid="{00000000-0005-0000-0000-000030030000}"/>
    <cellStyle name="F6" xfId="567" xr:uid="{00000000-0005-0000-0000-000031030000}"/>
    <cellStyle name="F6 2" xfId="568" xr:uid="{00000000-0005-0000-0000-000032030000}"/>
    <cellStyle name="F6 2 2" xfId="569" xr:uid="{00000000-0005-0000-0000-000033030000}"/>
    <cellStyle name="F7" xfId="570" xr:uid="{00000000-0005-0000-0000-000034030000}"/>
    <cellStyle name="F7 2" xfId="571" xr:uid="{00000000-0005-0000-0000-000035030000}"/>
    <cellStyle name="F7 2 2" xfId="572" xr:uid="{00000000-0005-0000-0000-000036030000}"/>
    <cellStyle name="F8" xfId="573" xr:uid="{00000000-0005-0000-0000-000037030000}"/>
    <cellStyle name="F8 2" xfId="574" xr:uid="{00000000-0005-0000-0000-000038030000}"/>
    <cellStyle name="F8 2 2" xfId="575" xr:uid="{00000000-0005-0000-0000-000039030000}"/>
    <cellStyle name="F8 2 3" xfId="576" xr:uid="{00000000-0005-0000-0000-00003A030000}"/>
    <cellStyle name="Fecha" xfId="577" xr:uid="{00000000-0005-0000-0000-00003B030000}"/>
    <cellStyle name="Fecha 2" xfId="578" xr:uid="{00000000-0005-0000-0000-00003C030000}"/>
    <cellStyle name="Fecha 3" xfId="579" xr:uid="{00000000-0005-0000-0000-00003D030000}"/>
    <cellStyle name="Fecha 4" xfId="580" xr:uid="{00000000-0005-0000-0000-00003E030000}"/>
    <cellStyle name="Fecha 5" xfId="581" xr:uid="{00000000-0005-0000-0000-00003F030000}"/>
    <cellStyle name="Fecha 6" xfId="582" xr:uid="{00000000-0005-0000-0000-000040030000}"/>
    <cellStyle name="Fecha 7" xfId="583" xr:uid="{00000000-0005-0000-0000-000041030000}"/>
    <cellStyle name="Fecha 7 2" xfId="584" xr:uid="{00000000-0005-0000-0000-000042030000}"/>
    <cellStyle name="Fecha 8" xfId="585" xr:uid="{00000000-0005-0000-0000-000043030000}"/>
    <cellStyle name="field" xfId="586" xr:uid="{00000000-0005-0000-0000-000044030000}"/>
    <cellStyle name="Fijo" xfId="587" xr:uid="{00000000-0005-0000-0000-000045030000}"/>
    <cellStyle name="Fijo 2" xfId="588" xr:uid="{00000000-0005-0000-0000-000046030000}"/>
    <cellStyle name="Fijo 3" xfId="589" xr:uid="{00000000-0005-0000-0000-000047030000}"/>
    <cellStyle name="Fijo 4" xfId="590" xr:uid="{00000000-0005-0000-0000-000048030000}"/>
    <cellStyle name="Fijo 5" xfId="591" xr:uid="{00000000-0005-0000-0000-000049030000}"/>
    <cellStyle name="Fijo 6" xfId="592" xr:uid="{00000000-0005-0000-0000-00004A030000}"/>
    <cellStyle name="Fijo 7" xfId="593" xr:uid="{00000000-0005-0000-0000-00004B030000}"/>
    <cellStyle name="Fijo 7 2" xfId="594" xr:uid="{00000000-0005-0000-0000-00004C030000}"/>
    <cellStyle name="Fijo 8" xfId="595" xr:uid="{00000000-0005-0000-0000-00004D030000}"/>
    <cellStyle name="Financiero" xfId="596" xr:uid="{00000000-0005-0000-0000-00004E030000}"/>
    <cellStyle name="FINANCIERO 2" xfId="597" xr:uid="{00000000-0005-0000-0000-00004F030000}"/>
    <cellStyle name="FINANCIERO 3" xfId="598" xr:uid="{00000000-0005-0000-0000-000050030000}"/>
    <cellStyle name="FINANCIERO 4" xfId="599" xr:uid="{00000000-0005-0000-0000-000051030000}"/>
    <cellStyle name="FINANCIERO 5" xfId="600" xr:uid="{00000000-0005-0000-0000-000052030000}"/>
    <cellStyle name="FINANCIERO 6" xfId="601" xr:uid="{00000000-0005-0000-0000-000053030000}"/>
    <cellStyle name="Financiero 7" xfId="602" xr:uid="{00000000-0005-0000-0000-000054030000}"/>
    <cellStyle name="Fixed" xfId="603" xr:uid="{00000000-0005-0000-0000-000055030000}"/>
    <cellStyle name="Fixed 2" xfId="604" xr:uid="{00000000-0005-0000-0000-000056030000}"/>
    <cellStyle name="formato" xfId="605" xr:uid="{00000000-0005-0000-0000-000057030000}"/>
    <cellStyle name="formato 2" xfId="606" xr:uid="{00000000-0005-0000-0000-000058030000}"/>
    <cellStyle name="Good" xfId="607" xr:uid="{00000000-0005-0000-0000-000059030000}"/>
    <cellStyle name="Grandes" xfId="608" xr:uid="{00000000-0005-0000-0000-00005A030000}"/>
    <cellStyle name="Grandes 2" xfId="609" xr:uid="{00000000-0005-0000-0000-00005B030000}"/>
    <cellStyle name="Grandes 3" xfId="610" xr:uid="{00000000-0005-0000-0000-00005C030000}"/>
    <cellStyle name="Grandes 4" xfId="611" xr:uid="{00000000-0005-0000-0000-00005D030000}"/>
    <cellStyle name="Grandes 5" xfId="612" xr:uid="{00000000-0005-0000-0000-00005E030000}"/>
    <cellStyle name="Grandes 6" xfId="613" xr:uid="{00000000-0005-0000-0000-00005F030000}"/>
    <cellStyle name="Grandes 7" xfId="614" xr:uid="{00000000-0005-0000-0000-000060030000}"/>
    <cellStyle name="Grandes 7 2" xfId="615" xr:uid="{00000000-0005-0000-0000-000061030000}"/>
    <cellStyle name="Grey" xfId="616" xr:uid="{00000000-0005-0000-0000-000062030000}"/>
    <cellStyle name="HAND" xfId="617" xr:uid="{00000000-0005-0000-0000-000063030000}"/>
    <cellStyle name="HAND 2" xfId="1743" xr:uid="{00000000-0005-0000-0000-000064030000}"/>
    <cellStyle name="HAND 2 2" xfId="3844" xr:uid="{4686E84C-C910-4BB0-B93B-D2E90CAC7299}"/>
    <cellStyle name="HAND 2 3" xfId="5083" xr:uid="{B312D17C-921F-454E-ADF1-8836CA45F40E}"/>
    <cellStyle name="HAND 3" xfId="5164" xr:uid="{B1917194-FE08-431D-A6FB-445DC064ED07}"/>
    <cellStyle name="HAND 4" xfId="12444" xr:uid="{280029D8-9C06-4188-B1D6-5906E00BD3FA}"/>
    <cellStyle name="Header1" xfId="618" xr:uid="{00000000-0005-0000-0000-000065030000}"/>
    <cellStyle name="Header2" xfId="619" xr:uid="{00000000-0005-0000-0000-000066030000}"/>
    <cellStyle name="Header2 10" xfId="11325" xr:uid="{32229108-10D9-4406-BCA0-3CC416EACBC1}"/>
    <cellStyle name="Header2 11" xfId="11877" xr:uid="{69CDEA97-7089-429A-A5B8-E2D102225AB4}"/>
    <cellStyle name="Header2 12" xfId="13132" xr:uid="{45E67057-1794-4016-BFA8-0B8DB1806258}"/>
    <cellStyle name="Header2 2" xfId="1307" xr:uid="{00000000-0005-0000-0000-000067030000}"/>
    <cellStyle name="Header2 2 2" xfId="3418" xr:uid="{93A8CB09-457C-43F7-B021-0562FD23BF46}"/>
    <cellStyle name="Header2 2 3" xfId="4724" xr:uid="{B3FCC77B-70FE-4110-8D91-62CF7A387334}"/>
    <cellStyle name="Header2 3" xfId="1496" xr:uid="{00000000-0005-0000-0000-000068030000}"/>
    <cellStyle name="Header2 3 2" xfId="3606" xr:uid="{30AF9814-2038-40AF-8556-35CB2E02EDC0}"/>
    <cellStyle name="Header2 3 3" xfId="4912" xr:uid="{8FC10743-F769-42FF-BEDD-5E372948306E}"/>
    <cellStyle name="Header2 4" xfId="2257" xr:uid="{499DEFEC-CC1F-4565-AF55-4E377EA3FE6D}"/>
    <cellStyle name="Header2 4 2" xfId="6844" xr:uid="{AEA21B4C-2BA3-44C5-9EDF-F94708114202}"/>
    <cellStyle name="Header2 5" xfId="2493" xr:uid="{09B99139-8335-44FB-8B72-1BC08B4C7504}"/>
    <cellStyle name="Header2 5 2" xfId="7139" xr:uid="{9652AF76-7E23-437D-A1AA-FAEC730E20F5}"/>
    <cellStyle name="Header2 6" xfId="7389" xr:uid="{420A8090-6361-4EFD-AAB4-3EEB0FE21287}"/>
    <cellStyle name="Header2 7" xfId="4420" xr:uid="{A63204A4-AFC2-46E8-80CD-BFEAB78C9AD0}"/>
    <cellStyle name="Header2 8" xfId="10987" xr:uid="{69A4E56D-8F27-4FF7-87DE-0F32C17CE805}"/>
    <cellStyle name="Header2 9" xfId="11334" xr:uid="{606A8E89-63A8-46FC-9B44-9B8888A615DD}"/>
    <cellStyle name="Heading 1" xfId="620" xr:uid="{00000000-0005-0000-0000-000069030000}"/>
    <cellStyle name="Heading 1 2" xfId="621" xr:uid="{00000000-0005-0000-0000-00006A030000}"/>
    <cellStyle name="Heading 2" xfId="622" xr:uid="{00000000-0005-0000-0000-00006B030000}"/>
    <cellStyle name="Heading 2 2" xfId="623" xr:uid="{00000000-0005-0000-0000-00006C030000}"/>
    <cellStyle name="Heading 3" xfId="624" xr:uid="{00000000-0005-0000-0000-00006D030000}"/>
    <cellStyle name="Heading 4" xfId="625" xr:uid="{00000000-0005-0000-0000-00006E030000}"/>
    <cellStyle name="Hide" xfId="626" xr:uid="{00000000-0005-0000-0000-00006F030000}"/>
    <cellStyle name="Hipervínculo 2" xfId="627" xr:uid="{00000000-0005-0000-0000-000070030000}"/>
    <cellStyle name="Hipervínculo 2 2" xfId="628" xr:uid="{00000000-0005-0000-0000-000071030000}"/>
    <cellStyle name="Hyperlink seguido_T177-LIS-EL-101-RA - Equipo Eléctrico" xfId="629" xr:uid="{00000000-0005-0000-0000-000072030000}"/>
    <cellStyle name="Hyperlink_EE_P012-C1-Alt1-52Ktpd-10a-RA" xfId="630" xr:uid="{00000000-0005-0000-0000-000073030000}"/>
    <cellStyle name="Incorrecto 2" xfId="631" xr:uid="{00000000-0005-0000-0000-000074030000}"/>
    <cellStyle name="Incorrecto 3" xfId="632" xr:uid="{00000000-0005-0000-0000-000075030000}"/>
    <cellStyle name="Incorrecto 4" xfId="633" xr:uid="{00000000-0005-0000-0000-000076030000}"/>
    <cellStyle name="Incorrecto 5" xfId="634" xr:uid="{00000000-0005-0000-0000-000077030000}"/>
    <cellStyle name="Input" xfId="635" xr:uid="{00000000-0005-0000-0000-000078030000}"/>
    <cellStyle name="Input [yellow]" xfId="636" xr:uid="{00000000-0005-0000-0000-000079030000}"/>
    <cellStyle name="Input [yellow] 10" xfId="4422" xr:uid="{85CAFF7C-8562-470F-B2F9-A6D5C21FFC0D}"/>
    <cellStyle name="Input [yellow] 11" xfId="10989" xr:uid="{1F6B49A1-D996-4C85-8CBB-F61A853FF6EF}"/>
    <cellStyle name="Input [yellow] 12" xfId="11319" xr:uid="{381E3CA1-0056-4AC5-93D7-6B70811F7DAF}"/>
    <cellStyle name="Input [yellow] 13" xfId="11879" xr:uid="{2CFD8029-13A8-462E-AD49-C1E75898C0D6}"/>
    <cellStyle name="Input [yellow] 14" xfId="12079" xr:uid="{15AFBD9C-D96D-46E5-843A-2526FF78B0D9}"/>
    <cellStyle name="Input [yellow] 15" xfId="12460" xr:uid="{DC37BEBA-BD7E-42B7-8F1A-B76E72571E3B}"/>
    <cellStyle name="Input [yellow] 16" xfId="12442" xr:uid="{BE6E7F26-42F9-4879-9B65-7B521A0FB7BF}"/>
    <cellStyle name="Input [yellow] 17" xfId="12445" xr:uid="{49D8A126-3830-427D-86CD-E4F9E1916071}"/>
    <cellStyle name="Input [yellow] 18" xfId="13138" xr:uid="{5F32CC05-A91C-4D62-8F80-3D840E10B114}"/>
    <cellStyle name="Input [yellow] 19" xfId="13126" xr:uid="{F4D22DDE-8CFA-4B8C-9465-468BA3A18909}"/>
    <cellStyle name="Input [yellow] 2" xfId="1308" xr:uid="{00000000-0005-0000-0000-00007A030000}"/>
    <cellStyle name="Input [yellow] 2 2" xfId="3419" xr:uid="{3E1CA1C6-7E09-4B1E-8341-1728428935C3}"/>
    <cellStyle name="Input [yellow] 2 3" xfId="4725" xr:uid="{5A794FB0-52C7-4636-A8C3-0E05BA66D497}"/>
    <cellStyle name="Input [yellow] 3" xfId="1745" xr:uid="{00000000-0005-0000-0000-00007B030000}"/>
    <cellStyle name="Input [yellow] 3 2" xfId="3846" xr:uid="{B9255FD8-3E26-4DC9-88F9-7D08009858BC}"/>
    <cellStyle name="Input [yellow] 3 3" xfId="5166" xr:uid="{9BC82622-19D6-4AD0-AB42-400B092E39A5}"/>
    <cellStyle name="Input [yellow] 4" xfId="2259" xr:uid="{6D680E15-1E2E-434C-B28A-22C87232A77E}"/>
    <cellStyle name="Input [yellow] 4 2" xfId="6104" xr:uid="{DEF7635B-475B-4D8D-A7D4-43CDD7A856F9}"/>
    <cellStyle name="Input [yellow] 5" xfId="2495" xr:uid="{753BA398-D715-4B27-A80C-EA2F2CA7B8B9}"/>
    <cellStyle name="Input [yellow] 5 2" xfId="6337" xr:uid="{31EB876E-9258-4577-A99B-5E2DFFED3DA1}"/>
    <cellStyle name="Input [yellow] 6" xfId="2969" xr:uid="{DC21FF5C-D5C7-4899-ADE8-8A8704D00F4A}"/>
    <cellStyle name="Input [yellow] 6 2" xfId="6584" xr:uid="{D4BB7D3D-3DA9-4A0E-BE17-F5DEFF2778EC}"/>
    <cellStyle name="Input [yellow] 7" xfId="6846" xr:uid="{BDD509A1-316E-45C4-833E-EC6D96BE72E1}"/>
    <cellStyle name="Input [yellow] 8" xfId="7141" xr:uid="{A50ED5CB-6E53-4E57-A613-6BC72E2EAC88}"/>
    <cellStyle name="Input [yellow] 9" xfId="7383" xr:uid="{CD560967-FC66-4D8B-B82F-DC2143BA9602}"/>
    <cellStyle name="Input 10" xfId="3181" xr:uid="{A26C83F4-5BBA-4445-A803-BE0A85BADBE0}"/>
    <cellStyle name="Input 10 2" xfId="6583" xr:uid="{E82E141D-DF37-4DA4-96F6-0303315E530E}"/>
    <cellStyle name="Input 10 3" xfId="9765" xr:uid="{CC2434CD-1E37-4325-AD1B-6081C4E593E0}"/>
    <cellStyle name="Input 11" xfId="6845" xr:uid="{AB5DBC3A-C19E-4E29-85C3-07C328EB99FA}"/>
    <cellStyle name="Input 11 2" xfId="10007" xr:uid="{921AAFE5-7226-4775-9E00-D3AC70759311}"/>
    <cellStyle name="Input 12" xfId="7031" xr:uid="{07F2600B-7EF4-4181-8DBB-A43D3F5B691D}"/>
    <cellStyle name="Input 12 2" xfId="10176" xr:uid="{6A94BF2D-B085-4D52-A0B3-06120DCA8EFD}"/>
    <cellStyle name="Input 13" xfId="7140" xr:uid="{B2FF9906-5D7D-4E3A-A1F0-095AFDECBCE6}"/>
    <cellStyle name="Input 13 2" xfId="10280" xr:uid="{7296F55C-1E21-4FDC-940E-CC06855C4217}"/>
    <cellStyle name="Input 14" xfId="7394" xr:uid="{360A4255-F89D-41C5-A70A-25F38C994CD6}"/>
    <cellStyle name="Input 14 2" xfId="10530" xr:uid="{59B8F79D-319A-4A15-B308-79B016B70859}"/>
    <cellStyle name="Input 15" xfId="7384" xr:uid="{9AC914E7-86FD-4998-BB10-D81D12376279}"/>
    <cellStyle name="Input 15 2" xfId="10521" xr:uid="{1369C7E5-F0C2-49FC-8351-82A0651918D6}"/>
    <cellStyle name="Input 16" xfId="4421" xr:uid="{1964B3E0-DA28-4BCA-8801-ABC608214E4F}"/>
    <cellStyle name="Input 17" xfId="4419" xr:uid="{3D329A03-9F6D-47AD-BF50-FAA2FCCF15E0}"/>
    <cellStyle name="Input 18" xfId="10905" xr:uid="{1FBA6D6B-9EDD-4B29-AE7C-3C4F4B2A358D}"/>
    <cellStyle name="Input 19" xfId="10988" xr:uid="{1864365E-F668-4A21-8A69-5D09B4C536A1}"/>
    <cellStyle name="Input 2" xfId="1497" xr:uid="{00000000-0005-0000-0000-00007C030000}"/>
    <cellStyle name="Input 2 2" xfId="3607" xr:uid="{75ABF4D8-445B-4F33-A131-8B58E47DF9B0}"/>
    <cellStyle name="Input 2 3" xfId="4913" xr:uid="{3E169643-2DCE-4401-BCE7-00FED1E195D2}"/>
    <cellStyle name="Input 2 4" xfId="8122" xr:uid="{7E8BCC59-6CCC-4EA0-A80D-498916CEB918}"/>
    <cellStyle name="Input 20" xfId="11336" xr:uid="{F9659369-CB57-488B-AFA8-69DE9C59EC4A}"/>
    <cellStyle name="Input 21" xfId="11320" xr:uid="{8EF5FC04-FF02-4362-A23A-E85BD6644AFD}"/>
    <cellStyle name="Input 22" xfId="11335" xr:uid="{6EB60EC4-81B1-4691-8A09-BE5E10276FC9}"/>
    <cellStyle name="Input 23" xfId="11878" xr:uid="{0536E056-51B5-4166-8DCE-C5F8D8DF1436}"/>
    <cellStyle name="Input 24" xfId="12078" xr:uid="{613734CD-798C-45E9-9204-048AA24FE28D}"/>
    <cellStyle name="Input 25" xfId="12459" xr:uid="{A5C033EB-148D-4FDF-BB7A-3CC51E37B944}"/>
    <cellStyle name="Input 26" xfId="12443" xr:uid="{C2EFFD1A-DA0B-487E-BB1C-86AB9302E766}"/>
    <cellStyle name="Input 27" xfId="12461" xr:uid="{9E5C822B-C217-4B95-82A2-2AFCA43B75AA}"/>
    <cellStyle name="Input 28" xfId="12446" xr:uid="{702B8864-A829-463A-B0C8-9A5AA45739BF}"/>
    <cellStyle name="Input 29" xfId="13137" xr:uid="{2DD10BAA-65B1-4850-A7A3-34BA9EC65C11}"/>
    <cellStyle name="Input 3" xfId="1744" xr:uid="{00000000-0005-0000-0000-00007D030000}"/>
    <cellStyle name="Input 3 2" xfId="3845" xr:uid="{CEFF2B50-58D3-4E9E-AD9B-AFC3EA020C7A}"/>
    <cellStyle name="Input 3 3" xfId="5084" xr:uid="{9A2FE4A8-E788-4D17-A0FB-726C7D356F2B}"/>
    <cellStyle name="Input 3 4" xfId="8287" xr:uid="{38E37564-3144-4A7A-8AC7-6A9DFA31645A}"/>
    <cellStyle name="Input 30" xfId="13127" xr:uid="{52CE2BFC-E008-4926-A610-67D761EFB998}"/>
    <cellStyle name="Input 4" xfId="2001" xr:uid="{00000000-0005-0000-0000-00007E030000}"/>
    <cellStyle name="Input 4 2" xfId="4107" xr:uid="{D8CF524E-B073-435A-822D-B91A80971424}"/>
    <cellStyle name="Input 4 3" xfId="5165" xr:uid="{2F43C96D-E477-46FE-931C-8E32122B4F5B}"/>
    <cellStyle name="Input 4 4" xfId="8361" xr:uid="{CFBC0ACC-7610-4A86-878E-998FB4B5EE4D}"/>
    <cellStyle name="Input 5" xfId="2258" xr:uid="{C22B9E84-E6AF-4377-8FCF-815835FC6CB9}"/>
    <cellStyle name="Input 5 2" xfId="5405" xr:uid="{7897C738-04E4-4FF7-B8A7-941D6A830DD5}"/>
    <cellStyle name="Input 5 3" xfId="8597" xr:uid="{7AFF4136-B111-4701-8CC7-23A6FF6CC6AB}"/>
    <cellStyle name="Input 6" xfId="2494" xr:uid="{7F5F2D06-2400-46F7-8BDA-EE9EEEDC5DB8}"/>
    <cellStyle name="Input 6 2" xfId="5641" xr:uid="{B29A97C4-94BE-49C3-8363-47305F4209B9}"/>
    <cellStyle name="Input 6 3" xfId="8833" xr:uid="{990A9841-620C-4314-8545-70B1AC5907A0}"/>
    <cellStyle name="Input 7" xfId="2666" xr:uid="{6B09A163-205B-4678-981E-1A9BBE77D26D}"/>
    <cellStyle name="Input 7 2" xfId="5871" xr:uid="{A954B3DD-2CFD-4E05-A4D6-05D9B1924633}"/>
    <cellStyle name="Input 7 3" xfId="9063" xr:uid="{D359E89A-ABFA-41A3-8751-5153A86B8A1C}"/>
    <cellStyle name="Input 8" xfId="2734" xr:uid="{1DD14B10-F8E5-48F4-8392-D558C0DA8C0F}"/>
    <cellStyle name="Input 8 2" xfId="6103" xr:uid="{0CB7E931-3FC7-439A-901D-DE0B4FBBD005}"/>
    <cellStyle name="Input 8 3" xfId="9293" xr:uid="{C9FA79E8-AC91-493B-8A4E-EFEAB3A7C7B5}"/>
    <cellStyle name="Input 9" xfId="2968" xr:uid="{72F4421C-F2E5-4CC2-A6AD-6C6F3FB061C1}"/>
    <cellStyle name="Input 9 2" xfId="6336" xr:uid="{5360A80C-524C-4CD6-96C6-B65200E26990}"/>
    <cellStyle name="Input 9 3" xfId="9523" xr:uid="{142D5DDB-0ACB-42D9-80DC-3D25BAC5777B}"/>
    <cellStyle name="Item" xfId="637" xr:uid="{00000000-0005-0000-0000-00007F030000}"/>
    <cellStyle name="Item 2" xfId="1746" xr:uid="{00000000-0005-0000-0000-000080030000}"/>
    <cellStyle name="Item 2 2" xfId="3847" xr:uid="{51F83EC7-FC46-42AC-A960-5C5C38097F49}"/>
    <cellStyle name="Item 2 3" xfId="5085" xr:uid="{C1FD413E-C419-4653-934E-B1DF55F9BF0E}"/>
    <cellStyle name="Item 3" xfId="5167" xr:uid="{9ED8B9DF-80F4-48D3-9514-3F7E09547367}"/>
    <cellStyle name="Item 4" xfId="12441" xr:uid="{AEB5F1C6-F708-4316-82BF-A929537C8D43}"/>
    <cellStyle name="Link Currency (0)" xfId="638" xr:uid="{00000000-0005-0000-0000-000081030000}"/>
    <cellStyle name="Link Currency (0) 2" xfId="639" xr:uid="{00000000-0005-0000-0000-000082030000}"/>
    <cellStyle name="Link Currency (2)" xfId="640" xr:uid="{00000000-0005-0000-0000-000083030000}"/>
    <cellStyle name="Link Units (0)" xfId="641" xr:uid="{00000000-0005-0000-0000-000084030000}"/>
    <cellStyle name="Link Units (0) 2" xfId="642" xr:uid="{00000000-0005-0000-0000-000085030000}"/>
    <cellStyle name="Link Units (1)" xfId="643" xr:uid="{00000000-0005-0000-0000-000086030000}"/>
    <cellStyle name="Link Units (1) 2" xfId="644" xr:uid="{00000000-0005-0000-0000-000087030000}"/>
    <cellStyle name="Link Units (2)" xfId="645" xr:uid="{00000000-0005-0000-0000-000088030000}"/>
    <cellStyle name="Linked Cell" xfId="646" xr:uid="{00000000-0005-0000-0000-000089030000}"/>
    <cellStyle name="Main" xfId="647" xr:uid="{00000000-0005-0000-0000-00008A030000}"/>
    <cellStyle name="marta" xfId="648" xr:uid="{00000000-0005-0000-0000-00008B030000}"/>
    <cellStyle name="mi encabezado" xfId="649" xr:uid="{00000000-0005-0000-0000-00008C030000}"/>
    <cellStyle name="mi encabezado 2" xfId="1747" xr:uid="{00000000-0005-0000-0000-00008D030000}"/>
    <cellStyle name="Millares" xfId="1" builtinId="3"/>
    <cellStyle name="Millares [0]" xfId="13504" builtinId="6"/>
    <cellStyle name="Millares [0] 2" xfId="650" xr:uid="{00000000-0005-0000-0000-000090030000}"/>
    <cellStyle name="Millares [0] 2 2" xfId="1498" xr:uid="{00000000-0005-0000-0000-000091030000}"/>
    <cellStyle name="Millares ⧛0]_10 Octubre Cump.Prod.2002" xfId="651" xr:uid="{00000000-0005-0000-0000-000092030000}"/>
    <cellStyle name="Millares 10" xfId="652" xr:uid="{00000000-0005-0000-0000-000093030000}"/>
    <cellStyle name="Millares 10 2" xfId="1499" xr:uid="{00000000-0005-0000-0000-000094030000}"/>
    <cellStyle name="Millares 11" xfId="653" xr:uid="{00000000-0005-0000-0000-000095030000}"/>
    <cellStyle name="Millares 11 2" xfId="1500" xr:uid="{00000000-0005-0000-0000-000096030000}"/>
    <cellStyle name="Millares 12" xfId="26" xr:uid="{00000000-0005-0000-0000-000097030000}"/>
    <cellStyle name="Millares 13" xfId="753" xr:uid="{00000000-0005-0000-0000-000098030000}"/>
    <cellStyle name="Millares 14" xfId="1422" xr:uid="{00000000-0005-0000-0000-000099030000}"/>
    <cellStyle name="Millares 15" xfId="7280" xr:uid="{1767E5EA-9C67-4169-9A55-1D788DCC4771}"/>
    <cellStyle name="Millares 16" xfId="7636" xr:uid="{77E19F8F-17D4-4BC5-BB1E-945D76A6FD95}"/>
    <cellStyle name="Millares 2" xfId="7" xr:uid="{00000000-0005-0000-0000-00009A030000}"/>
    <cellStyle name="Millares 2 2" xfId="654" xr:uid="{00000000-0005-0000-0000-00009B030000}"/>
    <cellStyle name="Millares 2 2 2" xfId="655" xr:uid="{00000000-0005-0000-0000-00009C030000}"/>
    <cellStyle name="Millares 2 2 2 2" xfId="1501" xr:uid="{00000000-0005-0000-0000-00009D030000}"/>
    <cellStyle name="Millares 2 3" xfId="656" xr:uid="{00000000-0005-0000-0000-00009E030000}"/>
    <cellStyle name="Millares 2 3 2" xfId="1502" xr:uid="{00000000-0005-0000-0000-00009F030000}"/>
    <cellStyle name="Millares 2 4" xfId="657" xr:uid="{00000000-0005-0000-0000-0000A0030000}"/>
    <cellStyle name="Millares 2 4 2" xfId="1503" xr:uid="{00000000-0005-0000-0000-0000A1030000}"/>
    <cellStyle name="Millares 2 5" xfId="658" xr:uid="{00000000-0005-0000-0000-0000A2030000}"/>
    <cellStyle name="Millares 2 5 2" xfId="1504" xr:uid="{00000000-0005-0000-0000-0000A3030000}"/>
    <cellStyle name="Millares 2 6" xfId="28" xr:uid="{00000000-0005-0000-0000-0000A4030000}"/>
    <cellStyle name="Millares 3" xfId="659" xr:uid="{00000000-0005-0000-0000-0000A5030000}"/>
    <cellStyle name="Millares 3 2" xfId="660" xr:uid="{00000000-0005-0000-0000-0000A6030000}"/>
    <cellStyle name="Millares 4" xfId="661" xr:uid="{00000000-0005-0000-0000-0000A7030000}"/>
    <cellStyle name="Millares 5" xfId="662" xr:uid="{00000000-0005-0000-0000-0000A8030000}"/>
    <cellStyle name="Millares 5 2" xfId="1505" xr:uid="{00000000-0005-0000-0000-0000A9030000}"/>
    <cellStyle name="Millares 6" xfId="663" xr:uid="{00000000-0005-0000-0000-0000AA030000}"/>
    <cellStyle name="Millares 6 2" xfId="1506" xr:uid="{00000000-0005-0000-0000-0000AB030000}"/>
    <cellStyle name="Millares 7" xfId="664" xr:uid="{00000000-0005-0000-0000-0000AC030000}"/>
    <cellStyle name="Millares 8" xfId="665" xr:uid="{00000000-0005-0000-0000-0000AD030000}"/>
    <cellStyle name="Millares 8 2" xfId="666" xr:uid="{00000000-0005-0000-0000-0000AE030000}"/>
    <cellStyle name="Millares 9" xfId="667" xr:uid="{00000000-0005-0000-0000-0000AF030000}"/>
    <cellStyle name="Millares 9 2" xfId="668" xr:uid="{00000000-0005-0000-0000-0000B0030000}"/>
    <cellStyle name="Millares_E.p_D4_Caratula" xfId="3" xr:uid="{00000000-0005-0000-0000-0000B1030000}"/>
    <cellStyle name="Millares_Solicitud de Pedido Metaproject" xfId="13507" xr:uid="{7BE9F10D-4F02-44A8-ABED-15A097409B25}"/>
    <cellStyle name="MODELO-1" xfId="669" xr:uid="{00000000-0005-0000-0000-0000B3030000}"/>
    <cellStyle name="Moeda [0]_Costo Operación T177 Fase II" xfId="670" xr:uid="{00000000-0005-0000-0000-0000B4030000}"/>
    <cellStyle name="Moeda_Costo Operación T177 Fase II" xfId="671" xr:uid="{00000000-0005-0000-0000-0000B5030000}"/>
    <cellStyle name="Moneda 2" xfId="15" xr:uid="{00000000-0005-0000-0000-0000B6030000}"/>
    <cellStyle name="Moneda 2 2" xfId="673" xr:uid="{00000000-0005-0000-0000-0000B7030000}"/>
    <cellStyle name="Moneda 2 3" xfId="674" xr:uid="{00000000-0005-0000-0000-0000B8030000}"/>
    <cellStyle name="Moneda 2 4" xfId="672" xr:uid="{00000000-0005-0000-0000-0000B9030000}"/>
    <cellStyle name="Moneda 3" xfId="12" xr:uid="{00000000-0005-0000-0000-0000BA030000}"/>
    <cellStyle name="Moneda 4" xfId="675" xr:uid="{00000000-0005-0000-0000-0000BB030000}"/>
    <cellStyle name="Moneda 5" xfId="676" xr:uid="{00000000-0005-0000-0000-0000BC030000}"/>
    <cellStyle name="Moneda0" xfId="677" xr:uid="{00000000-0005-0000-0000-0000BD030000}"/>
    <cellStyle name="Moneda0 2" xfId="678" xr:uid="{00000000-0005-0000-0000-0000BE030000}"/>
    <cellStyle name="Moneda0 3" xfId="679" xr:uid="{00000000-0005-0000-0000-0000BF030000}"/>
    <cellStyle name="Moneda0 4" xfId="680" xr:uid="{00000000-0005-0000-0000-0000C0030000}"/>
    <cellStyle name="Moneda0 5" xfId="681" xr:uid="{00000000-0005-0000-0000-0000C1030000}"/>
    <cellStyle name="Moneda0 6" xfId="682" xr:uid="{00000000-0005-0000-0000-0000C2030000}"/>
    <cellStyle name="Moneda0 7" xfId="683" xr:uid="{00000000-0005-0000-0000-0000C3030000}"/>
    <cellStyle name="Moneda0 7 2" xfId="684" xr:uid="{00000000-0005-0000-0000-0000C4030000}"/>
    <cellStyle name="Monetario" xfId="685" xr:uid="{00000000-0005-0000-0000-0000C5030000}"/>
    <cellStyle name="Monetario 2" xfId="686" xr:uid="{00000000-0005-0000-0000-0000C6030000}"/>
    <cellStyle name="Monetario 3" xfId="687" xr:uid="{00000000-0005-0000-0000-0000C7030000}"/>
    <cellStyle name="Monetario 4" xfId="688" xr:uid="{00000000-0005-0000-0000-0000C8030000}"/>
    <cellStyle name="Monetario 5" xfId="689" xr:uid="{00000000-0005-0000-0000-0000C9030000}"/>
    <cellStyle name="Monetario 6" xfId="690" xr:uid="{00000000-0005-0000-0000-0000CA030000}"/>
    <cellStyle name="Monetario 7" xfId="691" xr:uid="{00000000-0005-0000-0000-0000CB030000}"/>
    <cellStyle name="Monetario 7 2" xfId="692" xr:uid="{00000000-0005-0000-0000-0000CC030000}"/>
    <cellStyle name="Monetario 8" xfId="693" xr:uid="{00000000-0005-0000-0000-0000CD030000}"/>
    <cellStyle name="Monetario0" xfId="694" xr:uid="{00000000-0005-0000-0000-0000CE030000}"/>
    <cellStyle name="Monetario0 10" xfId="695" xr:uid="{00000000-0005-0000-0000-0000CF030000}"/>
    <cellStyle name="Monetario0 11" xfId="696" xr:uid="{00000000-0005-0000-0000-0000D0030000}"/>
    <cellStyle name="Monetario0 12" xfId="697" xr:uid="{00000000-0005-0000-0000-0000D1030000}"/>
    <cellStyle name="Monetario0 13" xfId="698" xr:uid="{00000000-0005-0000-0000-0000D2030000}"/>
    <cellStyle name="Monetario0 14" xfId="699" xr:uid="{00000000-0005-0000-0000-0000D3030000}"/>
    <cellStyle name="Monetario0 15" xfId="700" xr:uid="{00000000-0005-0000-0000-0000D4030000}"/>
    <cellStyle name="Monetario0 2" xfId="701" xr:uid="{00000000-0005-0000-0000-0000D5030000}"/>
    <cellStyle name="Monetario0 3" xfId="702" xr:uid="{00000000-0005-0000-0000-0000D6030000}"/>
    <cellStyle name="Monetario0 4" xfId="703" xr:uid="{00000000-0005-0000-0000-0000D7030000}"/>
    <cellStyle name="Monetario0 5" xfId="704" xr:uid="{00000000-0005-0000-0000-0000D8030000}"/>
    <cellStyle name="Monetario0 6" xfId="705" xr:uid="{00000000-0005-0000-0000-0000D9030000}"/>
    <cellStyle name="Monetario0 7" xfId="706" xr:uid="{00000000-0005-0000-0000-0000DA030000}"/>
    <cellStyle name="Monetario0 7 2" xfId="707" xr:uid="{00000000-0005-0000-0000-0000DB030000}"/>
    <cellStyle name="Monetario0 8" xfId="708" xr:uid="{00000000-0005-0000-0000-0000DC030000}"/>
    <cellStyle name="Monetario0 9" xfId="709" xr:uid="{00000000-0005-0000-0000-0000DD030000}"/>
    <cellStyle name="Months" xfId="710" xr:uid="{00000000-0005-0000-0000-0000DE030000}"/>
    <cellStyle name="Neutral 2" xfId="711" xr:uid="{00000000-0005-0000-0000-0000DF030000}"/>
    <cellStyle name="Neutral 3" xfId="712" xr:uid="{00000000-0005-0000-0000-0000E0030000}"/>
    <cellStyle name="Neutral 4" xfId="713" xr:uid="{00000000-0005-0000-0000-0000E1030000}"/>
    <cellStyle name="Neutral 5" xfId="714" xr:uid="{00000000-0005-0000-0000-0000E2030000}"/>
    <cellStyle name="no dec" xfId="715" xr:uid="{00000000-0005-0000-0000-0000E3030000}"/>
    <cellStyle name="No-definido" xfId="716" xr:uid="{00000000-0005-0000-0000-0000E4030000}"/>
    <cellStyle name="Normal" xfId="0" builtinId="0"/>
    <cellStyle name="Normal - Estilo1" xfId="717" xr:uid="{00000000-0005-0000-0000-0000E6030000}"/>
    <cellStyle name="Normal - Estilo2" xfId="718" xr:uid="{00000000-0005-0000-0000-0000E7030000}"/>
    <cellStyle name="Normal - Estilo3" xfId="719" xr:uid="{00000000-0005-0000-0000-0000E8030000}"/>
    <cellStyle name="Normal - Estilo4" xfId="720" xr:uid="{00000000-0005-0000-0000-0000E9030000}"/>
    <cellStyle name="Normal - Estilo5" xfId="721" xr:uid="{00000000-0005-0000-0000-0000EA030000}"/>
    <cellStyle name="Normal - Estilo6" xfId="722" xr:uid="{00000000-0005-0000-0000-0000EB030000}"/>
    <cellStyle name="Normal - Estilo7" xfId="723" xr:uid="{00000000-0005-0000-0000-0000EC030000}"/>
    <cellStyle name="Normal - Estilo8" xfId="724" xr:uid="{00000000-0005-0000-0000-0000ED030000}"/>
    <cellStyle name="Normal - Modelo1" xfId="725" xr:uid="{00000000-0005-0000-0000-0000EE030000}"/>
    <cellStyle name="Normal - Modelo2" xfId="726" xr:uid="{00000000-0005-0000-0000-0000EF030000}"/>
    <cellStyle name="Normal - Modelo3" xfId="727" xr:uid="{00000000-0005-0000-0000-0000F0030000}"/>
    <cellStyle name="Normal - Modelo4" xfId="728" xr:uid="{00000000-0005-0000-0000-0000F1030000}"/>
    <cellStyle name="Normal - Modelo5" xfId="729" xr:uid="{00000000-0005-0000-0000-0000F2030000}"/>
    <cellStyle name="Normal - Modelo6" xfId="730" xr:uid="{00000000-0005-0000-0000-0000F3030000}"/>
    <cellStyle name="Normal - Modelo7" xfId="731" xr:uid="{00000000-0005-0000-0000-0000F4030000}"/>
    <cellStyle name="Normal - Modelo8" xfId="732" xr:uid="{00000000-0005-0000-0000-0000F5030000}"/>
    <cellStyle name="Normal - Style1" xfId="733" xr:uid="{00000000-0005-0000-0000-0000F6030000}"/>
    <cellStyle name="Normal 10" xfId="734" xr:uid="{00000000-0005-0000-0000-0000F7030000}"/>
    <cellStyle name="Normal 11" xfId="735" xr:uid="{00000000-0005-0000-0000-0000F8030000}"/>
    <cellStyle name="Normal 12" xfId="736" xr:uid="{00000000-0005-0000-0000-0000F9030000}"/>
    <cellStyle name="Normal 12 2 2 2" xfId="737" xr:uid="{00000000-0005-0000-0000-0000FA030000}"/>
    <cellStyle name="Normal 13" xfId="31" xr:uid="{00000000-0005-0000-0000-0000FB030000}"/>
    <cellStyle name="Normal 15" xfId="738" xr:uid="{00000000-0005-0000-0000-0000FC030000}"/>
    <cellStyle name="Normal 16" xfId="739" xr:uid="{00000000-0005-0000-0000-0000FD030000}"/>
    <cellStyle name="Normal 19" xfId="740" xr:uid="{00000000-0005-0000-0000-0000FE030000}"/>
    <cellStyle name="Normal 2" xfId="5" xr:uid="{00000000-0005-0000-0000-0000FF030000}"/>
    <cellStyle name="Normal 2 2" xfId="21" xr:uid="{00000000-0005-0000-0000-000000040000}"/>
    <cellStyle name="Normal 2 2 2" xfId="741" xr:uid="{00000000-0005-0000-0000-000001040000}"/>
    <cellStyle name="Normal 2 3" xfId="742" xr:uid="{00000000-0005-0000-0000-000002040000}"/>
    <cellStyle name="Normal 2 4" xfId="743" xr:uid="{00000000-0005-0000-0000-000003040000}"/>
    <cellStyle name="Normal 2 5" xfId="744" xr:uid="{00000000-0005-0000-0000-000004040000}"/>
    <cellStyle name="Normal 3" xfId="10" xr:uid="{00000000-0005-0000-0000-000005040000}"/>
    <cellStyle name="Normal 3 2" xfId="20" xr:uid="{00000000-0005-0000-0000-000006040000}"/>
    <cellStyle name="Normal 3 2 2" xfId="746" xr:uid="{00000000-0005-0000-0000-000007040000}"/>
    <cellStyle name="Normal 3 2 3" xfId="745" xr:uid="{00000000-0005-0000-0000-000008040000}"/>
    <cellStyle name="Normal 3 3" xfId="747" xr:uid="{00000000-0005-0000-0000-000009040000}"/>
    <cellStyle name="Normal 3 4" xfId="748" xr:uid="{00000000-0005-0000-0000-00000A040000}"/>
    <cellStyle name="Normal 3 5" xfId="749" xr:uid="{00000000-0005-0000-0000-00000B040000}"/>
    <cellStyle name="Normal 3 6" xfId="30" xr:uid="{00000000-0005-0000-0000-00000C040000}"/>
    <cellStyle name="Normal 4" xfId="14" xr:uid="{00000000-0005-0000-0000-00000D040000}"/>
    <cellStyle name="Normal 4 2" xfId="18" xr:uid="{00000000-0005-0000-0000-00000E040000}"/>
    <cellStyle name="Normal 4 3" xfId="22" xr:uid="{00000000-0005-0000-0000-00000F040000}"/>
    <cellStyle name="Normal 5" xfId="13" xr:uid="{00000000-0005-0000-0000-000010040000}"/>
    <cellStyle name="Normal 5 2" xfId="750" xr:uid="{00000000-0005-0000-0000-000011040000}"/>
    <cellStyle name="Normal 6" xfId="16" xr:uid="{00000000-0005-0000-0000-000012040000}"/>
    <cellStyle name="Normal 6 2" xfId="23" xr:uid="{00000000-0005-0000-0000-000013040000}"/>
    <cellStyle name="Normal 6 2 2" xfId="751" xr:uid="{00000000-0005-0000-0000-000014040000}"/>
    <cellStyle name="Normal 7" xfId="17" xr:uid="{00000000-0005-0000-0000-000015040000}"/>
    <cellStyle name="Normal 7 2" xfId="24" xr:uid="{00000000-0005-0000-0000-000016040000}"/>
    <cellStyle name="Normal 7 3" xfId="25" xr:uid="{00000000-0005-0000-0000-000017040000}"/>
    <cellStyle name="Normal 7 4" xfId="752" xr:uid="{00000000-0005-0000-0000-000018040000}"/>
    <cellStyle name="Normal 8" xfId="19" xr:uid="{00000000-0005-0000-0000-000019040000}"/>
    <cellStyle name="Normal 8 2" xfId="754" xr:uid="{00000000-0005-0000-0000-00001A040000}"/>
    <cellStyle name="Normal 9" xfId="755" xr:uid="{00000000-0005-0000-0000-00001B040000}"/>
    <cellStyle name="Normal 9 2" xfId="756" xr:uid="{00000000-0005-0000-0000-00001C040000}"/>
    <cellStyle name="Normal_01 Sacse" xfId="13505" xr:uid="{6F39DCE6-C924-40FA-9834-A67CA2D31C57}"/>
    <cellStyle name="Normal_estado de pago 11" xfId="2" xr:uid="{00000000-0005-0000-0000-00001E040000}"/>
    <cellStyle name="Normal_ORDEN DE CAMBIO CIMM GAPP" xfId="13506" xr:uid="{01FEB56B-D1E6-41EF-92D4-55946BF4A7E4}"/>
    <cellStyle name="Notas 2" xfId="757" xr:uid="{00000000-0005-0000-0000-000020040000}"/>
    <cellStyle name="Notas 2 10" xfId="6847" xr:uid="{30677A6A-173E-4AA4-B8F2-A3374CD2EC8B}"/>
    <cellStyle name="Notas 2 10 2" xfId="10008" xr:uid="{0CF3DEA0-B9F7-46EE-A1D1-70652494C939}"/>
    <cellStyle name="Notas 2 11" xfId="7142" xr:uid="{A7BACC3B-C417-4EC1-9F23-7E80D5380C8F}"/>
    <cellStyle name="Notas 2 11 2" xfId="10281" xr:uid="{92A70397-0997-46C9-9058-F9CD43F91084}"/>
    <cellStyle name="Notas 2 12" xfId="7395" xr:uid="{C5ACED99-A893-42E9-B862-04AA23FBBCAD}"/>
    <cellStyle name="Notas 2 12 2" xfId="10531" xr:uid="{593D57B1-70A8-4519-8783-DB19FC20E5BB}"/>
    <cellStyle name="Notas 2 13" xfId="7382" xr:uid="{CE791CA6-DE0B-4C3E-8884-0D3F5789223A}"/>
    <cellStyle name="Notas 2 13 2" xfId="10520" xr:uid="{53A724D8-58D7-4157-9D70-92FB0DBB62CD}"/>
    <cellStyle name="Notas 2 14" xfId="4425" xr:uid="{52DC6D25-B309-4C30-A876-7F3CB8684F6F}"/>
    <cellStyle name="Notas 2 15" xfId="4414" xr:uid="{CF33BD55-A8D2-4940-92AF-F77E5604320F}"/>
    <cellStyle name="Notas 2 16" xfId="10990" xr:uid="{8563797A-9945-4EC4-82BB-AFAC399F4B2B}"/>
    <cellStyle name="Notas 2 17" xfId="11338" xr:uid="{4CDBB185-4472-4464-8B6D-FEE60100C1B5}"/>
    <cellStyle name="Notas 2 18" xfId="11318" xr:uid="{D60D70D3-62D4-485B-B893-52DF55424C7B}"/>
    <cellStyle name="Notas 2 19" xfId="11880" xr:uid="{3EF08C46-D924-419D-94A5-C94B69638591}"/>
    <cellStyle name="Notas 2 2" xfId="1507" xr:uid="{00000000-0005-0000-0000-000021040000}"/>
    <cellStyle name="Notas 2 2 2" xfId="3608" xr:uid="{3E3392B3-EFB1-4013-B72C-D3F7085017E9}"/>
    <cellStyle name="Notas 2 2 3" xfId="4916" xr:uid="{43F017BB-3C31-441F-BA29-AA46BA10A1BE}"/>
    <cellStyle name="Notas 2 2 4" xfId="8123" xr:uid="{CB9E917A-3E4C-49D8-A62A-0E8599E275EF}"/>
    <cellStyle name="Notas 2 20" xfId="12080" xr:uid="{AA286A49-DA7C-4D09-BA35-E0932C225156}"/>
    <cellStyle name="Notas 2 21" xfId="12464" xr:uid="{8A0D4A8A-6E07-490F-9871-F3FC59BF5523}"/>
    <cellStyle name="Notas 2 22" xfId="12439" xr:uid="{8EB0F4BB-4595-4ED1-B206-5B1CC2FB3891}"/>
    <cellStyle name="Notas 2 23" xfId="12472" xr:uid="{F1903A6E-A854-4361-92D3-965E3AA78D6E}"/>
    <cellStyle name="Notas 2 24" xfId="13139" xr:uid="{E5051484-D102-44EC-BC59-E24EB40FF310}"/>
    <cellStyle name="Notas 2 25" xfId="13125" xr:uid="{52643376-D872-4E06-895B-4EFE72890A0A}"/>
    <cellStyle name="Notas 2 3" xfId="1748" xr:uid="{00000000-0005-0000-0000-000022040000}"/>
    <cellStyle name="Notas 2 3 2" xfId="3848" xr:uid="{5D9737C3-E13D-419E-A786-F140CA8E3BBB}"/>
    <cellStyle name="Notas 2 3 3" xfId="5168" xr:uid="{8C810E13-E46C-4A14-9876-94AF9A5972F1}"/>
    <cellStyle name="Notas 2 3 4" xfId="8362" xr:uid="{27A75FDC-0298-4B2B-AF0A-D38158F75DAA}"/>
    <cellStyle name="Notas 2 4" xfId="2002" xr:uid="{00000000-0005-0000-0000-000023040000}"/>
    <cellStyle name="Notas 2 4 2" xfId="4108" xr:uid="{9B4AFAB1-91BB-435B-BC8B-C2B40F087739}"/>
    <cellStyle name="Notas 2 4 3" xfId="5406" xr:uid="{D96EC704-8A5F-4217-8189-B4A93FC6718D}"/>
    <cellStyle name="Notas 2 4 4" xfId="8598" xr:uid="{19D466DB-99FB-40F7-9723-7043520FA71C}"/>
    <cellStyle name="Notas 2 5" xfId="2260" xr:uid="{88A1BA36-322F-4EDF-A487-FABD5F4F72CC}"/>
    <cellStyle name="Notas 2 5 2" xfId="5642" xr:uid="{066A4F37-B914-4BAE-8AE0-083B2F691353}"/>
    <cellStyle name="Notas 2 5 3" xfId="8834" xr:uid="{8EFBD2B4-0CBF-494F-99A9-7C7B0D50B96F}"/>
    <cellStyle name="Notas 2 6" xfId="2496" xr:uid="{D337965D-6ED1-421F-818A-B6860292A277}"/>
    <cellStyle name="Notas 2 6 2" xfId="5872" xr:uid="{1A616277-56C8-4786-89E7-18DE8F179D3B}"/>
    <cellStyle name="Notas 2 6 3" xfId="9064" xr:uid="{907292EE-C1FD-452E-AFE6-8EC3A9277E41}"/>
    <cellStyle name="Notas 2 7" xfId="2735" xr:uid="{2679A276-F153-4EF7-A69D-F0AF9161E0D5}"/>
    <cellStyle name="Notas 2 7 2" xfId="6105" xr:uid="{A860867E-FC06-4967-AD43-87C051B527E4}"/>
    <cellStyle name="Notas 2 7 3" xfId="9294" xr:uid="{E7D2A5F8-BE12-4686-B69E-15CE2F3FC171}"/>
    <cellStyle name="Notas 2 8" xfId="2970" xr:uid="{E9594255-11DD-4E81-9873-43DCFA299CF5}"/>
    <cellStyle name="Notas 2 8 2" xfId="6338" xr:uid="{6512CA0D-10C7-4811-B24A-F77B7FF353D9}"/>
    <cellStyle name="Notas 2 8 3" xfId="9524" xr:uid="{77291C4D-0821-4563-B1E4-41E9A62C1833}"/>
    <cellStyle name="Notas 2 9" xfId="3182" xr:uid="{728BD312-950A-4DE2-95B6-3E5950F4842B}"/>
    <cellStyle name="Notas 2 9 2" xfId="6585" xr:uid="{534B696E-501F-426E-A6EE-9B751BCB4305}"/>
    <cellStyle name="Notas 2 9 3" xfId="9766" xr:uid="{B9FB2036-0987-4D6D-A3E1-79D017B1B6C2}"/>
    <cellStyle name="Notas 3" xfId="758" xr:uid="{00000000-0005-0000-0000-000024040000}"/>
    <cellStyle name="Notas 3 10" xfId="6848" xr:uid="{CB0FEE5D-3F57-40C3-8E3F-5974FEB420C0}"/>
    <cellStyle name="Notas 3 10 2" xfId="10009" xr:uid="{95862CF1-8CF0-41A3-851C-49AB259846D9}"/>
    <cellStyle name="Notas 3 11" xfId="7143" xr:uid="{5AAD56D1-0117-40F3-BC7B-E0FE712B89E2}"/>
    <cellStyle name="Notas 3 11 2" xfId="10282" xr:uid="{22ABCE90-255C-4ED4-B5F3-FD2F7ADAD035}"/>
    <cellStyle name="Notas 3 12" xfId="7396" xr:uid="{920F052F-40B9-41CE-AE27-FB170F94F9FA}"/>
    <cellStyle name="Notas 3 12 2" xfId="10532" xr:uid="{F3C666A5-D96B-4FE3-80E8-8C272385B4E8}"/>
    <cellStyle name="Notas 3 13" xfId="7381" xr:uid="{D5035E61-92B7-4E4A-9022-6E112423EF04}"/>
    <cellStyle name="Notas 3 13 2" xfId="10519" xr:uid="{F4F4DCE8-17C6-4145-9F13-8DB52D3109A8}"/>
    <cellStyle name="Notas 3 14" xfId="4426" xr:uid="{FE59B950-64C6-410A-AAA7-177E32D4AF65}"/>
    <cellStyle name="Notas 3 15" xfId="4413" xr:uid="{2AAA647A-73D4-4ADB-8073-AB0EFF5DC120}"/>
    <cellStyle name="Notas 3 16" xfId="10991" xr:uid="{A2AA7FFA-2EA5-4217-927F-ED4586D8E237}"/>
    <cellStyle name="Notas 3 17" xfId="11339" xr:uid="{C2EFE358-6E96-4302-B362-D3A51CF9C4D5}"/>
    <cellStyle name="Notas 3 18" xfId="11316" xr:uid="{500AAA31-4A0D-4299-A0AB-D0D2CBC5C8A6}"/>
    <cellStyle name="Notas 3 19" xfId="11881" xr:uid="{8393EFC0-2B0D-4B20-B0C5-ADC4B56DD59B}"/>
    <cellStyle name="Notas 3 2" xfId="1508" xr:uid="{00000000-0005-0000-0000-000025040000}"/>
    <cellStyle name="Notas 3 2 2" xfId="3609" xr:uid="{F9289483-43B2-40BA-83EE-699BE6251898}"/>
    <cellStyle name="Notas 3 2 3" xfId="4917" xr:uid="{7975B825-B9CA-4D88-98B1-2D190EF7D27E}"/>
    <cellStyle name="Notas 3 2 4" xfId="8124" xr:uid="{C7C303C3-3AEF-4B8A-BC04-59BD2FCF0923}"/>
    <cellStyle name="Notas 3 20" xfId="12081" xr:uid="{21E44F4D-5D2E-45F0-A416-92DFA8A710E3}"/>
    <cellStyle name="Notas 3 21" xfId="12465" xr:uid="{6054F193-A782-4319-BE08-32C7AAC19475}"/>
    <cellStyle name="Notas 3 22" xfId="12438" xr:uid="{16408051-E320-412B-9E88-4B9A82D60ABC}"/>
    <cellStyle name="Notas 3 23" xfId="12519" xr:uid="{538068DC-373D-425C-9056-7EC004595F9D}"/>
    <cellStyle name="Notas 3 24" xfId="13140" xr:uid="{513375AD-4048-4FEA-A85C-C884898EEF4F}"/>
    <cellStyle name="Notas 3 25" xfId="13124" xr:uid="{748D0158-0E23-4278-A7CB-7A5F00885F50}"/>
    <cellStyle name="Notas 3 3" xfId="1749" xr:uid="{00000000-0005-0000-0000-000026040000}"/>
    <cellStyle name="Notas 3 3 2" xfId="3849" xr:uid="{6DB0370B-6062-40CF-961B-06CB855CAC2C}"/>
    <cellStyle name="Notas 3 3 3" xfId="5169" xr:uid="{9E4D3F97-AE68-472E-B57B-9D538831E5E6}"/>
    <cellStyle name="Notas 3 3 4" xfId="8363" xr:uid="{1E43A7CB-AF7E-4251-886F-9991BE4B021F}"/>
    <cellStyle name="Notas 3 4" xfId="2003" xr:uid="{00000000-0005-0000-0000-000027040000}"/>
    <cellStyle name="Notas 3 4 2" xfId="4109" xr:uid="{61CAE724-1CEE-41E1-80AC-DF50E61E427E}"/>
    <cellStyle name="Notas 3 4 3" xfId="5407" xr:uid="{658BDA9E-9929-4B53-B8A3-2BD3BF0941A3}"/>
    <cellStyle name="Notas 3 4 4" xfId="8599" xr:uid="{7CEDCD79-B3D8-46F6-A506-EDF789248E05}"/>
    <cellStyle name="Notas 3 5" xfId="2261" xr:uid="{EE1F7C97-9841-4483-A1DB-03AE839D3973}"/>
    <cellStyle name="Notas 3 5 2" xfId="5643" xr:uid="{6E73D33E-BEB1-4274-B3CD-B59F97ABFEA9}"/>
    <cellStyle name="Notas 3 5 3" xfId="8835" xr:uid="{010A31F4-C2FB-4046-AEEE-E02F317095B6}"/>
    <cellStyle name="Notas 3 6" xfId="2497" xr:uid="{34924E4C-1A2E-4E62-8199-C492F650C65F}"/>
    <cellStyle name="Notas 3 6 2" xfId="5873" xr:uid="{1C208203-32CD-4784-88E8-BE76A727BFCD}"/>
    <cellStyle name="Notas 3 6 3" xfId="9065" xr:uid="{D6DD054F-BE3A-47F4-998D-52B3F2E42229}"/>
    <cellStyle name="Notas 3 7" xfId="2736" xr:uid="{2FF5B7F3-ED21-4381-92E3-14EB712ECA91}"/>
    <cellStyle name="Notas 3 7 2" xfId="6106" xr:uid="{9E046EA0-31CB-410A-BD4E-039A0F4EE1A4}"/>
    <cellStyle name="Notas 3 7 3" xfId="9295" xr:uid="{FA92213C-C6BB-4412-9000-99AB927FA542}"/>
    <cellStyle name="Notas 3 8" xfId="2971" xr:uid="{311FD21A-E14C-4DBE-9DEA-06E9B0A6F91B}"/>
    <cellStyle name="Notas 3 8 2" xfId="6339" xr:uid="{B61F8633-94C0-44ED-8B4A-E0ED9D8B9028}"/>
    <cellStyle name="Notas 3 8 3" xfId="9525" xr:uid="{526630D9-C182-4A17-97B8-D69BBD226C75}"/>
    <cellStyle name="Notas 3 9" xfId="3183" xr:uid="{447152B0-B0B9-410D-B02B-4B0DFAF38766}"/>
    <cellStyle name="Notas 3 9 2" xfId="6586" xr:uid="{FDD89B6D-81FB-4C62-97DD-E3C06AE4FA4B}"/>
    <cellStyle name="Notas 3 9 3" xfId="9767" xr:uid="{73FB9F91-E60E-4E08-86D3-FD62FC463174}"/>
    <cellStyle name="Notas 4" xfId="759" xr:uid="{00000000-0005-0000-0000-000028040000}"/>
    <cellStyle name="Notas 4 10" xfId="6849" xr:uid="{B8A1A25A-A553-41B5-82E5-700E475859D1}"/>
    <cellStyle name="Notas 4 10 2" xfId="10010" xr:uid="{44B19032-61B3-4073-951F-BB5D96CD6DD6}"/>
    <cellStyle name="Notas 4 11" xfId="7144" xr:uid="{03FBA94B-D08E-4F36-B2B3-9905F3599E67}"/>
    <cellStyle name="Notas 4 11 2" xfId="10283" xr:uid="{C13DDB26-A12E-44A0-98A9-BB674D24ECF1}"/>
    <cellStyle name="Notas 4 12" xfId="7397" xr:uid="{B237C6E0-F7DB-4E28-8AC1-91565200F060}"/>
    <cellStyle name="Notas 4 12 2" xfId="10533" xr:uid="{8868BC64-C005-41FB-BD9F-A8DB13F80DB0}"/>
    <cellStyle name="Notas 4 13" xfId="7380" xr:uid="{6209438D-F2B9-4D06-845A-83B1FE4F66C1}"/>
    <cellStyle name="Notas 4 13 2" xfId="10518" xr:uid="{E8FF8940-AA70-4D29-A9BA-347CBF30C819}"/>
    <cellStyle name="Notas 4 14" xfId="4427" xr:uid="{1E9114CE-3F3F-4596-AD06-B8607A8F42CA}"/>
    <cellStyle name="Notas 4 15" xfId="4412" xr:uid="{7C43C1AA-9634-4354-96EA-1CB294E57EC0}"/>
    <cellStyle name="Notas 4 16" xfId="10992" xr:uid="{10883200-9839-4214-8394-30ED8B85A0A7}"/>
    <cellStyle name="Notas 4 17" xfId="11340" xr:uid="{F10778BA-2C44-4710-AEC3-0DD420BE2E35}"/>
    <cellStyle name="Notas 4 18" xfId="11315" xr:uid="{BDCAA6D2-9B3F-49DE-91D7-5292B162666E}"/>
    <cellStyle name="Notas 4 19" xfId="11882" xr:uid="{AD011179-55DD-4E42-9535-C901E749728E}"/>
    <cellStyle name="Notas 4 2" xfId="1509" xr:uid="{00000000-0005-0000-0000-000029040000}"/>
    <cellStyle name="Notas 4 2 2" xfId="3610" xr:uid="{9CC5278E-1AFB-465A-A497-77C3473AF4E7}"/>
    <cellStyle name="Notas 4 2 3" xfId="4918" xr:uid="{837191DD-40DA-439E-9947-50AC924AE927}"/>
    <cellStyle name="Notas 4 2 4" xfId="8125" xr:uid="{0E701B86-083B-4929-8AB5-D360306915EF}"/>
    <cellStyle name="Notas 4 20" xfId="12082" xr:uid="{F4550C15-CE1A-46F5-B323-B083B1F96E54}"/>
    <cellStyle name="Notas 4 21" xfId="12466" xr:uid="{329522D0-6F69-4AB9-BB30-F27C274A957C}"/>
    <cellStyle name="Notas 4 22" xfId="12437" xr:uid="{D0186756-5B14-44C1-BE41-91CCFE528F3C}"/>
    <cellStyle name="Notas 4 23" xfId="12531" xr:uid="{47A40AF2-A291-4DCB-ACD7-7E0AB7491D85}"/>
    <cellStyle name="Notas 4 24" xfId="13141" xr:uid="{E1EC9109-A377-4EA6-98AC-28FE5BFD5A1E}"/>
    <cellStyle name="Notas 4 25" xfId="13123" xr:uid="{2485AD31-6F2B-490E-BC45-A08E05FC74FA}"/>
    <cellStyle name="Notas 4 3" xfId="1750" xr:uid="{00000000-0005-0000-0000-00002A040000}"/>
    <cellStyle name="Notas 4 3 2" xfId="3850" xr:uid="{6A39F56F-B33A-4D0E-B832-8FE5084687DD}"/>
    <cellStyle name="Notas 4 3 3" xfId="5170" xr:uid="{EE61BC8B-E002-4EE5-B3E4-CC26174E6CD5}"/>
    <cellStyle name="Notas 4 3 4" xfId="8364" xr:uid="{02F03E0C-ADDF-41B2-A40B-5CF978FBE780}"/>
    <cellStyle name="Notas 4 4" xfId="2004" xr:uid="{00000000-0005-0000-0000-00002B040000}"/>
    <cellStyle name="Notas 4 4 2" xfId="4110" xr:uid="{11304734-FA70-48D5-96F2-B331A47511FB}"/>
    <cellStyle name="Notas 4 4 3" xfId="5408" xr:uid="{1D50ABFF-DB99-47F1-AD01-D091085CB073}"/>
    <cellStyle name="Notas 4 4 4" xfId="8600" xr:uid="{F0D2D4E7-6FDC-4F9F-9CFF-EC6108184704}"/>
    <cellStyle name="Notas 4 5" xfId="2262" xr:uid="{DB7B3806-1A49-481D-8C8C-0A7632BC1711}"/>
    <cellStyle name="Notas 4 5 2" xfId="5644" xr:uid="{E1F22A8A-56DF-4A73-8286-9EC1090A373F}"/>
    <cellStyle name="Notas 4 5 3" xfId="8836" xr:uid="{5C373C4C-AD30-4581-8281-26432FD75AA8}"/>
    <cellStyle name="Notas 4 6" xfId="2498" xr:uid="{9DDC9C9E-AAE7-42EC-9A13-070AB5B27CF7}"/>
    <cellStyle name="Notas 4 6 2" xfId="5874" xr:uid="{9869208F-FDA8-4EC7-ADF3-82B4B0174936}"/>
    <cellStyle name="Notas 4 6 3" xfId="9066" xr:uid="{49FEF68A-1D2A-4B28-A1A1-4AB472F1C31D}"/>
    <cellStyle name="Notas 4 7" xfId="2737" xr:uid="{65C09B24-328E-411B-962A-1F953A244E13}"/>
    <cellStyle name="Notas 4 7 2" xfId="6107" xr:uid="{DDED2613-3CC0-4310-82E7-4DA794385742}"/>
    <cellStyle name="Notas 4 7 3" xfId="9296" xr:uid="{35E374B5-DF89-4DFF-9ABC-10D3FA88463D}"/>
    <cellStyle name="Notas 4 8" xfId="2972" xr:uid="{BA141CE3-B2F6-4CA7-8CF9-0F7A3E4B14E5}"/>
    <cellStyle name="Notas 4 8 2" xfId="6340" xr:uid="{F1E0A6F1-6A63-4314-B275-11AB518CAF7E}"/>
    <cellStyle name="Notas 4 8 3" xfId="9526" xr:uid="{048C1764-1E5B-4996-B7E2-7530561039BA}"/>
    <cellStyle name="Notas 4 9" xfId="3184" xr:uid="{23DF0B22-5814-40B6-A74A-D39BAFF7E30E}"/>
    <cellStyle name="Notas 4 9 2" xfId="6587" xr:uid="{F153C068-F835-4FF1-BE1F-524099A29B6C}"/>
    <cellStyle name="Notas 4 9 3" xfId="9768" xr:uid="{915B7820-89D9-4307-9874-7C4A78CF89B7}"/>
    <cellStyle name="Notas 5" xfId="760" xr:uid="{00000000-0005-0000-0000-00002C040000}"/>
    <cellStyle name="Notas 5 10" xfId="6850" xr:uid="{D46722AA-190F-4032-9B3D-EB7CDDA76F85}"/>
    <cellStyle name="Notas 5 10 2" xfId="10011" xr:uid="{2491C518-13F6-4113-8BBA-5FAE19E109CB}"/>
    <cellStyle name="Notas 5 11" xfId="7145" xr:uid="{7FBA6C4E-D6FA-4945-AFFF-4D2CA562CDA0}"/>
    <cellStyle name="Notas 5 11 2" xfId="10284" xr:uid="{E8A24593-2541-46B4-8750-3DBEA7A9F5A8}"/>
    <cellStyle name="Notas 5 12" xfId="7398" xr:uid="{6E2A0DE4-E14B-49A9-8CFF-30F946EF973D}"/>
    <cellStyle name="Notas 5 12 2" xfId="10534" xr:uid="{1C1BB7EA-A1BC-43CD-B73F-8A82D98E9F9E}"/>
    <cellStyle name="Notas 5 13" xfId="7379" xr:uid="{20306E01-8FB8-4DF1-A1B4-3055D7294A49}"/>
    <cellStyle name="Notas 5 13 2" xfId="10517" xr:uid="{5E54E94C-18EB-41F8-988F-04DB750B3659}"/>
    <cellStyle name="Notas 5 14" xfId="4428" xr:uid="{8D741448-CA2E-41DB-8F08-5C6F3474C52E}"/>
    <cellStyle name="Notas 5 15" xfId="4411" xr:uid="{5B0AB6DD-2A24-44EE-B325-7DCDA05A0FDD}"/>
    <cellStyle name="Notas 5 16" xfId="10993" xr:uid="{3EC8A4A7-FFE1-436F-8EF1-AFB846B0B4A5}"/>
    <cellStyle name="Notas 5 17" xfId="11341" xr:uid="{7874503C-4593-487F-B4B0-A1085EEBDA01}"/>
    <cellStyle name="Notas 5 18" xfId="11314" xr:uid="{40547F32-7C4C-44BB-AECF-2D2352F9D9F3}"/>
    <cellStyle name="Notas 5 19" xfId="11883" xr:uid="{76E346FF-4B1F-46AE-9FCD-176B4849C272}"/>
    <cellStyle name="Notas 5 2" xfId="1510" xr:uid="{00000000-0005-0000-0000-00002D040000}"/>
    <cellStyle name="Notas 5 2 2" xfId="3611" xr:uid="{40AC2223-4C4E-4C52-A745-FD2C3FA161CB}"/>
    <cellStyle name="Notas 5 2 3" xfId="4919" xr:uid="{9A6F3A41-EF10-4DBF-9773-F5EABEB1E31E}"/>
    <cellStyle name="Notas 5 2 4" xfId="8126" xr:uid="{8A154B04-903E-4A9F-9855-435DED5720D2}"/>
    <cellStyle name="Notas 5 20" xfId="12083" xr:uid="{EDE3AA89-F759-4EE9-B1A7-1BFECF7671BC}"/>
    <cellStyle name="Notas 5 21" xfId="12467" xr:uid="{BC43653D-A9AC-4727-8D6B-18BAF1CD3A7C}"/>
    <cellStyle name="Notas 5 22" xfId="12436" xr:uid="{CC8354A2-63F2-4CEB-9853-5EE2EB28531F}"/>
    <cellStyle name="Notas 5 23" xfId="12532" xr:uid="{CF1F8E33-E1BE-4550-BAD1-24C113D565B1}"/>
    <cellStyle name="Notas 5 24" xfId="13142" xr:uid="{2431D90F-1E61-4E0A-9DFE-CEBFDD5CBD98}"/>
    <cellStyle name="Notas 5 25" xfId="13120" xr:uid="{A0346ACD-DAF0-4497-8C69-A84A316F40F0}"/>
    <cellStyle name="Notas 5 3" xfId="1751" xr:uid="{00000000-0005-0000-0000-00002E040000}"/>
    <cellStyle name="Notas 5 3 2" xfId="3851" xr:uid="{9BF67F70-0DB5-410E-83BB-63B4EA9DE7CD}"/>
    <cellStyle name="Notas 5 3 3" xfId="5171" xr:uid="{4B2C6193-FE49-4513-B940-551870939306}"/>
    <cellStyle name="Notas 5 3 4" xfId="8365" xr:uid="{61FBFBFF-6E21-4253-B873-E3CA2C9CE4AA}"/>
    <cellStyle name="Notas 5 4" xfId="2005" xr:uid="{00000000-0005-0000-0000-00002F040000}"/>
    <cellStyle name="Notas 5 4 2" xfId="4111" xr:uid="{BCFEE883-4D74-4BD3-BACD-4B55CEFCB46B}"/>
    <cellStyle name="Notas 5 4 3" xfId="5409" xr:uid="{BF51F706-ABDD-442D-A38F-40483AD550BB}"/>
    <cellStyle name="Notas 5 4 4" xfId="8601" xr:uid="{0280BA60-7496-44CA-B4EE-57EBC5DDEB33}"/>
    <cellStyle name="Notas 5 5" xfId="2263" xr:uid="{255EFE12-5ACE-43BB-B4D1-53422BA0EB27}"/>
    <cellStyle name="Notas 5 5 2" xfId="5645" xr:uid="{3A2508E6-FD05-48D0-B7D8-183D44B79167}"/>
    <cellStyle name="Notas 5 5 3" xfId="8837" xr:uid="{8CA9FC86-9113-436A-855B-5343D934551F}"/>
    <cellStyle name="Notas 5 6" xfId="2499" xr:uid="{30EFE4ED-B2D2-49D4-9EF6-C3D5CC53593A}"/>
    <cellStyle name="Notas 5 6 2" xfId="5875" xr:uid="{C3498F78-42C6-4CE3-ACC8-7B1AACAE22DB}"/>
    <cellStyle name="Notas 5 6 3" xfId="9067" xr:uid="{1F5CFC79-9F47-44F4-A17D-C6A6B87CB56D}"/>
    <cellStyle name="Notas 5 7" xfId="2738" xr:uid="{EE93CC50-268A-4652-94C6-39D74623904B}"/>
    <cellStyle name="Notas 5 7 2" xfId="6108" xr:uid="{20C69951-8C14-4D47-8535-881BD92A416B}"/>
    <cellStyle name="Notas 5 7 3" xfId="9297" xr:uid="{DF17C5AC-EFB4-4425-8168-BD123D7748BF}"/>
    <cellStyle name="Notas 5 8" xfId="2973" xr:uid="{15B54C92-65A1-4CEF-B4F4-C25E81EC8F62}"/>
    <cellStyle name="Notas 5 8 2" xfId="6341" xr:uid="{018B2E7D-488D-4348-B277-1E47C89A2BAE}"/>
    <cellStyle name="Notas 5 8 3" xfId="9527" xr:uid="{7F3424B8-8413-4759-8FCF-7900196D717F}"/>
    <cellStyle name="Notas 5 9" xfId="3185" xr:uid="{3F1748B4-EEFC-4759-BCC2-69F7E49FF3E3}"/>
    <cellStyle name="Notas 5 9 2" xfId="6588" xr:uid="{321D83B0-1CA8-4185-BA26-433D12E3F75C}"/>
    <cellStyle name="Notas 5 9 3" xfId="9769" xr:uid="{7888E00E-B70B-4DCF-B519-A4D3472D97BE}"/>
    <cellStyle name="Note" xfId="761" xr:uid="{00000000-0005-0000-0000-000030040000}"/>
    <cellStyle name="Note 10" xfId="6851" xr:uid="{A66BAED5-11B7-487F-913C-4D3B3A365107}"/>
    <cellStyle name="Note 10 2" xfId="10012" xr:uid="{88779A87-9EB5-4223-9064-285607FDF8C6}"/>
    <cellStyle name="Note 11" xfId="7146" xr:uid="{B9CBD34E-FC2B-4E19-9695-B0906CA1F9A6}"/>
    <cellStyle name="Note 11 2" xfId="10285" xr:uid="{DF5E2772-ABEA-45EB-9558-29DA64523D34}"/>
    <cellStyle name="Note 12" xfId="7399" xr:uid="{0F4D569D-D8B5-4FF0-82E0-9755F41F823C}"/>
    <cellStyle name="Note 12 2" xfId="10535" xr:uid="{73E34DED-E406-4BC7-B418-67C074EA8EB4}"/>
    <cellStyle name="Note 13" xfId="7378" xr:uid="{836AACE2-52B1-477D-B2BB-B0AFD5E98AEE}"/>
    <cellStyle name="Note 13 2" xfId="10516" xr:uid="{5CF88114-1D54-4738-B389-CAD27B679C69}"/>
    <cellStyle name="Note 14" xfId="4429" xr:uid="{7B25E971-DFC3-4562-B0F2-56B15D682377}"/>
    <cellStyle name="Note 15" xfId="4410" xr:uid="{2D9A98A3-1938-42A7-9069-1C7E1381D256}"/>
    <cellStyle name="Note 16" xfId="10994" xr:uid="{CD9DC8A2-0CFB-41F5-B56A-3D91CECFF74A}"/>
    <cellStyle name="Note 17" xfId="11342" xr:uid="{FF573B96-518C-42D5-B994-40E3EFCD953D}"/>
    <cellStyle name="Note 18" xfId="11313" xr:uid="{CC38567E-F050-478E-BA19-208EE556CDB1}"/>
    <cellStyle name="Note 19" xfId="11884" xr:uid="{DD406265-7DEF-4FE5-AD43-DAA620861EC8}"/>
    <cellStyle name="Note 2" xfId="1511" xr:uid="{00000000-0005-0000-0000-000031040000}"/>
    <cellStyle name="Note 2 2" xfId="3612" xr:uid="{D7C321D9-4AD6-4FEF-A174-FC17470390D3}"/>
    <cellStyle name="Note 2 3" xfId="4920" xr:uid="{F7540931-F8E4-4F9B-942F-253AA6D5FC54}"/>
    <cellStyle name="Note 2 4" xfId="8127" xr:uid="{D5855A89-B214-4004-9602-5309BF30F3A0}"/>
    <cellStyle name="Note 20" xfId="12084" xr:uid="{E5F307B9-C947-4616-9565-179593324F86}"/>
    <cellStyle name="Note 21" xfId="12468" xr:uid="{823C23F0-C9A1-47C9-B656-77A41C1C9EE9}"/>
    <cellStyle name="Note 22" xfId="12435" xr:uid="{D7533CAF-0310-4A36-BD5F-C2DB1505CB2F}"/>
    <cellStyle name="Note 23" xfId="12533" xr:uid="{5E3264AC-F6BA-43D7-BF30-9D61223DB739}"/>
    <cellStyle name="Note 24" xfId="13143" xr:uid="{F7C52C22-3007-4879-A84A-E620306C8AA7}"/>
    <cellStyle name="Note 25" xfId="13119" xr:uid="{8E415146-1CE7-444F-92F3-A9DB3B4E5829}"/>
    <cellStyle name="Note 3" xfId="1752" xr:uid="{00000000-0005-0000-0000-000032040000}"/>
    <cellStyle name="Note 3 2" xfId="3852" xr:uid="{13923674-3595-40AC-BDF7-D0FCADBAF62C}"/>
    <cellStyle name="Note 3 3" xfId="5172" xr:uid="{F946A387-603C-4FC9-BC2F-122FAD314890}"/>
    <cellStyle name="Note 3 4" xfId="8366" xr:uid="{3739C623-2605-4580-93BC-3950A047A373}"/>
    <cellStyle name="Note 4" xfId="2006" xr:uid="{00000000-0005-0000-0000-000033040000}"/>
    <cellStyle name="Note 4 2" xfId="4112" xr:uid="{35F67EDC-04BE-4502-B130-E4F0AC25FACB}"/>
    <cellStyle name="Note 4 3" xfId="5410" xr:uid="{6E43AEB0-C93B-4A42-987E-63DAA3A156B6}"/>
    <cellStyle name="Note 4 4" xfId="8602" xr:uid="{500ADEBA-241B-4C4E-A77E-6B4BB0038282}"/>
    <cellStyle name="Note 5" xfId="2264" xr:uid="{3F0256CB-2841-492F-A693-6E27A24B85BA}"/>
    <cellStyle name="Note 5 2" xfId="5646" xr:uid="{741097F8-0990-4ECA-AAC3-7EC405E2DAF6}"/>
    <cellStyle name="Note 5 3" xfId="8838" xr:uid="{0A87E215-8601-4583-B88A-77FC49117312}"/>
    <cellStyle name="Note 6" xfId="2500" xr:uid="{7882FBFF-3CD6-43FD-9C30-203C4C9D44A6}"/>
    <cellStyle name="Note 6 2" xfId="5876" xr:uid="{93A4F55E-79A8-4C70-AB7E-441A22D5A79F}"/>
    <cellStyle name="Note 6 3" xfId="9068" xr:uid="{96A8C007-B4F4-4F1A-8EFF-CB228EF525B6}"/>
    <cellStyle name="Note 7" xfId="2739" xr:uid="{E392B97A-915B-4DE8-A9BC-653230F37619}"/>
    <cellStyle name="Note 7 2" xfId="6109" xr:uid="{45DA8F12-A25E-42DF-A7E6-322D049E2785}"/>
    <cellStyle name="Note 7 3" xfId="9298" xr:uid="{2FC3FDDD-B225-4805-AE75-BFE207E29EA2}"/>
    <cellStyle name="Note 8" xfId="2974" xr:uid="{B170AC77-261C-4A0B-8313-C519D4E6FAB1}"/>
    <cellStyle name="Note 8 2" xfId="6342" xr:uid="{B9F02D96-45D6-4436-9A24-B00C8991D9D5}"/>
    <cellStyle name="Note 8 3" xfId="9528" xr:uid="{C26258F6-EF65-4F3A-A93F-D010BD0C6468}"/>
    <cellStyle name="Note 9" xfId="3186" xr:uid="{16710F1D-7E7C-445A-ACE8-536E00F2B7D8}"/>
    <cellStyle name="Note 9 2" xfId="6589" xr:uid="{52C83723-F1E1-4DD2-A444-BED498C07B98}"/>
    <cellStyle name="Note 9 3" xfId="9770" xr:uid="{2699D723-1363-4999-B4DA-E47436BECB42}"/>
    <cellStyle name="'O" xfId="762" xr:uid="{00000000-0005-0000-0000-000034040000}"/>
    <cellStyle name="oft Excel]_x000d__x000a_Comment=Las líneas open=/f cargan funciones personalizadas en la lista del diálogo Pegar función._x000d__x000a_Maxi" xfId="763" xr:uid="{00000000-0005-0000-0000-000035040000}"/>
    <cellStyle name="oft Excel]_x000d__x000a_Options3=0_x000d__x000a_Options5=1729_x000d__x000a_User=MINMETAL S.A._x000d__x000a_Font=Times New Roman,10_x000d__x000a_AltStartup=_x000d__x000a_StickyPtX=324_x000d__x000a_Sti" xfId="764" xr:uid="{00000000-0005-0000-0000-000036040000}"/>
    <cellStyle name="Output" xfId="765" xr:uid="{00000000-0005-0000-0000-000037040000}"/>
    <cellStyle name="Output 10" xfId="6852" xr:uid="{1E576CDC-9E2A-4FEC-8292-9EC58E2EDA1E}"/>
    <cellStyle name="Output 10 2" xfId="10013" xr:uid="{43D29183-A611-4B7A-ADC0-4B86973E4192}"/>
    <cellStyle name="Output 11" xfId="7147" xr:uid="{646B0206-AC17-474A-9CAD-64F83983520A}"/>
    <cellStyle name="Output 11 2" xfId="10286" xr:uid="{8C5B4A08-97EC-449E-B5A7-9302A2F7F649}"/>
    <cellStyle name="Output 12" xfId="7400" xr:uid="{6BD0FFC5-2C33-45C8-9AD8-4758440D2B57}"/>
    <cellStyle name="Output 12 2" xfId="10536" xr:uid="{53775B38-41CE-414B-B77F-FAE038B6297E}"/>
    <cellStyle name="Output 13" xfId="7377" xr:uid="{D94CF592-C838-48CF-A7F4-7F6ED51A37B1}"/>
    <cellStyle name="Output 13 2" xfId="10515" xr:uid="{FE4E22B1-3C99-4BEA-A575-3A874D232C01}"/>
    <cellStyle name="Output 14" xfId="4430" xr:uid="{99C75F25-C665-463C-882F-B34A224158A8}"/>
    <cellStyle name="Output 15" xfId="4409" xr:uid="{AACFF67E-BB6C-4089-8EBA-E741310AFAD1}"/>
    <cellStyle name="Output 16" xfId="10995" xr:uid="{F4E84467-46D2-4162-99B9-A8AA55FE2951}"/>
    <cellStyle name="Output 17" xfId="11343" xr:uid="{AD58A2F6-04BF-4591-B80B-38E75A542EAC}"/>
    <cellStyle name="Output 18" xfId="11312" xr:uid="{CE9C3316-A0C2-4ACF-8C34-0EB32689F526}"/>
    <cellStyle name="Output 19" xfId="12085" xr:uid="{2FA7A6F7-5A75-4859-9BB2-14BE5A7B5A66}"/>
    <cellStyle name="Output 2" xfId="1512" xr:uid="{00000000-0005-0000-0000-000038040000}"/>
    <cellStyle name="Output 2 2" xfId="3613" xr:uid="{12B5C304-D2EF-45E6-8047-62A60735A140}"/>
    <cellStyle name="Output 2 3" xfId="4921" xr:uid="{4ADCD81A-08EC-4B41-BC90-B615F1095025}"/>
    <cellStyle name="Output 2 4" xfId="8128" xr:uid="{E42B11B1-28E1-41D6-82F8-3FB0401FA5A0}"/>
    <cellStyle name="Output 20" xfId="12470" xr:uid="{61930851-1CE2-46B7-8817-5E41321BCD3B}"/>
    <cellStyle name="Output 21" xfId="12434" xr:uid="{C3180F00-2BA6-4F55-AADF-B556FC1E12D2}"/>
    <cellStyle name="Output 22" xfId="12534" xr:uid="{3FF7DF58-4923-463F-BA43-CEB0B00AE68C}"/>
    <cellStyle name="Output 23" xfId="13144" xr:uid="{C05DDFF7-2D9A-4247-A821-13912F52B044}"/>
    <cellStyle name="Output 24" xfId="13118" xr:uid="{0DBCB6C7-2C92-483F-8F13-7C96D18AAB29}"/>
    <cellStyle name="Output 3" xfId="1753" xr:uid="{00000000-0005-0000-0000-000039040000}"/>
    <cellStyle name="Output 3 2" xfId="3853" xr:uid="{6F60F39F-A7E1-4C6D-BBAD-94DC84946B5D}"/>
    <cellStyle name="Output 3 3" xfId="5173" xr:uid="{BC2ED189-9C6A-498C-B5D3-70BA9000EED8}"/>
    <cellStyle name="Output 3 4" xfId="8367" xr:uid="{75B9C1DC-56E2-4AD2-A5B9-9638E59CF2EC}"/>
    <cellStyle name="Output 4" xfId="2007" xr:uid="{00000000-0005-0000-0000-00003A040000}"/>
    <cellStyle name="Output 4 2" xfId="4113" xr:uid="{A892966F-4A23-400B-83C8-833B5678C898}"/>
    <cellStyle name="Output 4 3" xfId="5411" xr:uid="{A0FDC186-E531-4F03-B0C8-60744FD01487}"/>
    <cellStyle name="Output 4 4" xfId="8603" xr:uid="{ECAFAC99-55D0-4D68-AF04-F1244239E9F7}"/>
    <cellStyle name="Output 5" xfId="2265" xr:uid="{9638A7BE-A139-4CF7-ABA9-416B35CF6946}"/>
    <cellStyle name="Output 5 2" xfId="5647" xr:uid="{6916D936-9058-4474-95E0-4FF3C3B88747}"/>
    <cellStyle name="Output 5 3" xfId="8839" xr:uid="{5BC2AA38-C758-4073-AE62-CAED9EE2A3DA}"/>
    <cellStyle name="Output 6" xfId="2501" xr:uid="{B40FC9E5-1689-47CA-B7E6-DD6AA9E890E9}"/>
    <cellStyle name="Output 6 2" xfId="5877" xr:uid="{5574FA1B-D623-485A-850E-092623D8D5BB}"/>
    <cellStyle name="Output 6 3" xfId="9069" xr:uid="{BC1042D7-A0F3-4A48-968C-9BF924812971}"/>
    <cellStyle name="Output 7" xfId="2740" xr:uid="{77A09612-B06A-44BE-927D-D5D101F77214}"/>
    <cellStyle name="Output 7 2" xfId="6110" xr:uid="{872DA61B-06AC-4666-9F56-C7F0738D489A}"/>
    <cellStyle name="Output 7 3" xfId="9299" xr:uid="{9B29FDB1-3F13-47DF-9C0B-EC974EDED344}"/>
    <cellStyle name="Output 8" xfId="2975" xr:uid="{992DD14F-71F8-4E10-8346-92C83698DCF2}"/>
    <cellStyle name="Output 8 2" xfId="6343" xr:uid="{D22E5A77-680C-40AE-BD6B-87BBED9B981E}"/>
    <cellStyle name="Output 8 3" xfId="9529" xr:uid="{A61EE353-04B8-45D0-906D-868B40023CE2}"/>
    <cellStyle name="Output 9" xfId="3187" xr:uid="{1AF5BFBC-425D-4918-9AB3-7BDE81247E9E}"/>
    <cellStyle name="Output 9 2" xfId="6590" xr:uid="{972BD8A4-4E05-4764-B741-EAF7F2D51B3A}"/>
    <cellStyle name="Output 9 3" xfId="9771" xr:uid="{7D3D2F03-2611-4409-9D07-63265FF39DD6}"/>
    <cellStyle name="Percent" xfId="766" xr:uid="{00000000-0005-0000-0000-00003B040000}"/>
    <cellStyle name="Percent [0]" xfId="767" xr:uid="{00000000-0005-0000-0000-00003C040000}"/>
    <cellStyle name="Percent [0] 2" xfId="768" xr:uid="{00000000-0005-0000-0000-00003D040000}"/>
    <cellStyle name="Percent [00]" xfId="769" xr:uid="{00000000-0005-0000-0000-00003E040000}"/>
    <cellStyle name="Percent [00] 2" xfId="770" xr:uid="{00000000-0005-0000-0000-00003F040000}"/>
    <cellStyle name="Percent [2]" xfId="771" xr:uid="{00000000-0005-0000-0000-000040040000}"/>
    <cellStyle name="Percent [2] 2" xfId="772" xr:uid="{00000000-0005-0000-0000-000041040000}"/>
    <cellStyle name="Percent 2" xfId="773" xr:uid="{00000000-0005-0000-0000-000042040000}"/>
    <cellStyle name="Percent 2 2" xfId="12086" xr:uid="{BBDA8749-E117-4136-9386-BA5764C96EA9}"/>
    <cellStyle name="Percent 2 3" xfId="12427" xr:uid="{E1C29EBA-5DA2-4936-BFC1-C7A3ED9F6754}"/>
    <cellStyle name="Percent 3" xfId="774" xr:uid="{00000000-0005-0000-0000-000043040000}"/>
    <cellStyle name="Percent 3 2" xfId="12087" xr:uid="{AD5704A9-A502-466F-B97E-B3A3583074AA}"/>
    <cellStyle name="Percent 3 3" xfId="12426" xr:uid="{BC8E2E3F-C53F-4063-8FB4-A8EEAA5F46D9}"/>
    <cellStyle name="Percent 4" xfId="775" xr:uid="{00000000-0005-0000-0000-000044040000}"/>
    <cellStyle name="Percent 4 2" xfId="12088" xr:uid="{308233B4-2F5B-4BE6-9EAF-E3751821D7B9}"/>
    <cellStyle name="Percent 4 3" xfId="12425" xr:uid="{7BDC603F-DAB1-4654-8FFB-1C046AB2F644}"/>
    <cellStyle name="Percent 5" xfId="776" xr:uid="{00000000-0005-0000-0000-000045040000}"/>
    <cellStyle name="Percent 5 2" xfId="12089" xr:uid="{A8004B1A-46B1-47AA-AB6D-889A2876DCEC}"/>
    <cellStyle name="Percent 5 3" xfId="12424" xr:uid="{DCC23EDB-E31F-411E-A814-3F6B09B8A253}"/>
    <cellStyle name="Percent 6" xfId="777" xr:uid="{00000000-0005-0000-0000-000046040000}"/>
    <cellStyle name="Percent 6 2" xfId="12090" xr:uid="{AF2EC676-0100-4C58-A32A-AC57FC9C48FB}"/>
    <cellStyle name="Percent 6 3" xfId="12376" xr:uid="{13E88FD5-29CA-4A02-AC51-35249A49FED1}"/>
    <cellStyle name="Percent 7" xfId="778" xr:uid="{00000000-0005-0000-0000-000047040000}"/>
    <cellStyle name="Percent_#6 Temps &amp; Contractors" xfId="779" xr:uid="{00000000-0005-0000-0000-000048040000}"/>
    <cellStyle name="percentGradeA" xfId="780" xr:uid="{00000000-0005-0000-0000-000049040000}"/>
    <cellStyle name="percentGradeA 2" xfId="13146" xr:uid="{FB3D5458-88C1-4161-A0A4-DCBB154F8908}"/>
    <cellStyle name="PLANTILLA" xfId="781" xr:uid="{00000000-0005-0000-0000-00004A040000}"/>
    <cellStyle name="PLANTILLA 2" xfId="782" xr:uid="{00000000-0005-0000-0000-00004B040000}"/>
    <cellStyle name="Porcen - Estilo2" xfId="783" xr:uid="{00000000-0005-0000-0000-00004C040000}"/>
    <cellStyle name="Porcentaje" xfId="8" builtinId="5"/>
    <cellStyle name="Porcentaje 2" xfId="11" xr:uid="{00000000-0005-0000-0000-00004E040000}"/>
    <cellStyle name="Porcentaje 2 2" xfId="785" xr:uid="{00000000-0005-0000-0000-00004F040000}"/>
    <cellStyle name="Porcentaje 2 2 2" xfId="786" xr:uid="{00000000-0005-0000-0000-000050040000}"/>
    <cellStyle name="Porcentaje 2 3" xfId="787" xr:uid="{00000000-0005-0000-0000-000051040000}"/>
    <cellStyle name="Porcentaje 2 4" xfId="784" xr:uid="{00000000-0005-0000-0000-000052040000}"/>
    <cellStyle name="Porcentaje 3" xfId="788" xr:uid="{00000000-0005-0000-0000-000053040000}"/>
    <cellStyle name="Porcentaje 3 2" xfId="789" xr:uid="{00000000-0005-0000-0000-000054040000}"/>
    <cellStyle name="Porcentaje 3 3" xfId="790" xr:uid="{00000000-0005-0000-0000-000055040000}"/>
    <cellStyle name="Porcentaje 4" xfId="791" xr:uid="{00000000-0005-0000-0000-000056040000}"/>
    <cellStyle name="Porcentaje 4 2" xfId="792" xr:uid="{00000000-0005-0000-0000-000057040000}"/>
    <cellStyle name="Porcentaje 5" xfId="793" xr:uid="{00000000-0005-0000-0000-000058040000}"/>
    <cellStyle name="Porcentaje 6" xfId="794" xr:uid="{00000000-0005-0000-0000-000059040000}"/>
    <cellStyle name="Porcentaje 7" xfId="795" xr:uid="{00000000-0005-0000-0000-00005A040000}"/>
    <cellStyle name="Porcentual 2" xfId="27" xr:uid="{00000000-0005-0000-0000-00005B040000}"/>
    <cellStyle name="Porcentual 2 2" xfId="796" xr:uid="{00000000-0005-0000-0000-00005C040000}"/>
    <cellStyle name="Porcentual 2 3" xfId="797" xr:uid="{00000000-0005-0000-0000-00005D040000}"/>
    <cellStyle name="Porcentual 3" xfId="798" xr:uid="{00000000-0005-0000-0000-00005E040000}"/>
    <cellStyle name="Porcentual 3 2" xfId="799" xr:uid="{00000000-0005-0000-0000-00005F040000}"/>
    <cellStyle name="Porcentual 4" xfId="800" xr:uid="{00000000-0005-0000-0000-000060040000}"/>
    <cellStyle name="Porcentual 5" xfId="801" xr:uid="{00000000-0005-0000-0000-000061040000}"/>
    <cellStyle name="Porcentual 6" xfId="802" xr:uid="{00000000-0005-0000-0000-000062040000}"/>
    <cellStyle name="Porcentual 6 2" xfId="803" xr:uid="{00000000-0005-0000-0000-000063040000}"/>
    <cellStyle name="Porcentual 7" xfId="804" xr:uid="{00000000-0005-0000-0000-000064040000}"/>
    <cellStyle name="Porcentual 7 2" xfId="805" xr:uid="{00000000-0005-0000-0000-000065040000}"/>
    <cellStyle name="PrePop Currency (0)" xfId="806" xr:uid="{00000000-0005-0000-0000-000066040000}"/>
    <cellStyle name="PrePop Currency (0) 2" xfId="807" xr:uid="{00000000-0005-0000-0000-000067040000}"/>
    <cellStyle name="PrePop Currency (2)" xfId="808" xr:uid="{00000000-0005-0000-0000-000068040000}"/>
    <cellStyle name="PrePop Units (0)" xfId="809" xr:uid="{00000000-0005-0000-0000-000069040000}"/>
    <cellStyle name="PrePop Units (0) 2" xfId="810" xr:uid="{00000000-0005-0000-0000-00006A040000}"/>
    <cellStyle name="PrePop Units (1)" xfId="811" xr:uid="{00000000-0005-0000-0000-00006B040000}"/>
    <cellStyle name="PrePop Units (1) 2" xfId="812" xr:uid="{00000000-0005-0000-0000-00006C040000}"/>
    <cellStyle name="PrePop Units (2)" xfId="813" xr:uid="{00000000-0005-0000-0000-00006D040000}"/>
    <cellStyle name="Punto" xfId="814" xr:uid="{00000000-0005-0000-0000-00006E040000}"/>
    <cellStyle name="Punto 2" xfId="815" xr:uid="{00000000-0005-0000-0000-00006F040000}"/>
    <cellStyle name="Punto 3" xfId="816" xr:uid="{00000000-0005-0000-0000-000070040000}"/>
    <cellStyle name="Punto 4" xfId="817" xr:uid="{00000000-0005-0000-0000-000071040000}"/>
    <cellStyle name="Punto 5" xfId="818" xr:uid="{00000000-0005-0000-0000-000072040000}"/>
    <cellStyle name="Punto 6" xfId="819" xr:uid="{00000000-0005-0000-0000-000073040000}"/>
    <cellStyle name="Punto 7" xfId="820" xr:uid="{00000000-0005-0000-0000-000074040000}"/>
    <cellStyle name="Punto 7 2" xfId="821" xr:uid="{00000000-0005-0000-0000-000075040000}"/>
    <cellStyle name="Punto 8" xfId="822" xr:uid="{00000000-0005-0000-0000-000076040000}"/>
    <cellStyle name="Punto0" xfId="823" xr:uid="{00000000-0005-0000-0000-000077040000}"/>
    <cellStyle name="Punto0 - Estilo3" xfId="824" xr:uid="{00000000-0005-0000-0000-000078040000}"/>
    <cellStyle name="Punto0 - Estilo3 2" xfId="825" xr:uid="{00000000-0005-0000-0000-000079040000}"/>
    <cellStyle name="Punto0 - Estilo3 2 2" xfId="826" xr:uid="{00000000-0005-0000-0000-00007A040000}"/>
    <cellStyle name="Punto0 - Style1" xfId="827" xr:uid="{00000000-0005-0000-0000-00007B040000}"/>
    <cellStyle name="Punto0 10" xfId="828" xr:uid="{00000000-0005-0000-0000-00007C040000}"/>
    <cellStyle name="Punto0 11" xfId="829" xr:uid="{00000000-0005-0000-0000-00007D040000}"/>
    <cellStyle name="Punto0 12" xfId="830" xr:uid="{00000000-0005-0000-0000-00007E040000}"/>
    <cellStyle name="Punto0 13" xfId="831" xr:uid="{00000000-0005-0000-0000-00007F040000}"/>
    <cellStyle name="Punto0 14" xfId="832" xr:uid="{00000000-0005-0000-0000-000080040000}"/>
    <cellStyle name="Punto0 14 2" xfId="833" xr:uid="{00000000-0005-0000-0000-000081040000}"/>
    <cellStyle name="Punto0 15" xfId="834" xr:uid="{00000000-0005-0000-0000-000082040000}"/>
    <cellStyle name="Punto0 15 2" xfId="835" xr:uid="{00000000-0005-0000-0000-000083040000}"/>
    <cellStyle name="Punto0 16" xfId="836" xr:uid="{00000000-0005-0000-0000-000084040000}"/>
    <cellStyle name="Punto0 17" xfId="837" xr:uid="{00000000-0005-0000-0000-000085040000}"/>
    <cellStyle name="Punto0 18" xfId="838" xr:uid="{00000000-0005-0000-0000-000086040000}"/>
    <cellStyle name="Punto0 19" xfId="839" xr:uid="{00000000-0005-0000-0000-000087040000}"/>
    <cellStyle name="Punto0 2" xfId="840" xr:uid="{00000000-0005-0000-0000-000088040000}"/>
    <cellStyle name="Punto0 20" xfId="841" xr:uid="{00000000-0005-0000-0000-000089040000}"/>
    <cellStyle name="Punto0 21" xfId="842" xr:uid="{00000000-0005-0000-0000-00008A040000}"/>
    <cellStyle name="Punto0 22" xfId="843" xr:uid="{00000000-0005-0000-0000-00008B040000}"/>
    <cellStyle name="Punto0 23" xfId="844" xr:uid="{00000000-0005-0000-0000-00008C040000}"/>
    <cellStyle name="Punto0 24" xfId="845" xr:uid="{00000000-0005-0000-0000-00008D040000}"/>
    <cellStyle name="Punto0 25" xfId="846" xr:uid="{00000000-0005-0000-0000-00008E040000}"/>
    <cellStyle name="Punto0 26" xfId="847" xr:uid="{00000000-0005-0000-0000-00008F040000}"/>
    <cellStyle name="Punto0 27" xfId="848" xr:uid="{00000000-0005-0000-0000-000090040000}"/>
    <cellStyle name="Punto0 28" xfId="849" xr:uid="{00000000-0005-0000-0000-000091040000}"/>
    <cellStyle name="Punto0 29" xfId="850" xr:uid="{00000000-0005-0000-0000-000092040000}"/>
    <cellStyle name="Punto0 3" xfId="851" xr:uid="{00000000-0005-0000-0000-000093040000}"/>
    <cellStyle name="Punto0 30" xfId="852" xr:uid="{00000000-0005-0000-0000-000094040000}"/>
    <cellStyle name="Punto0 31" xfId="853" xr:uid="{00000000-0005-0000-0000-000095040000}"/>
    <cellStyle name="Punto0 32" xfId="854" xr:uid="{00000000-0005-0000-0000-000096040000}"/>
    <cellStyle name="Punto0 33" xfId="855" xr:uid="{00000000-0005-0000-0000-000097040000}"/>
    <cellStyle name="Punto0 34" xfId="856" xr:uid="{00000000-0005-0000-0000-000098040000}"/>
    <cellStyle name="Punto0 35" xfId="857" xr:uid="{00000000-0005-0000-0000-000099040000}"/>
    <cellStyle name="Punto0 36" xfId="858" xr:uid="{00000000-0005-0000-0000-00009A040000}"/>
    <cellStyle name="Punto0 37" xfId="859" xr:uid="{00000000-0005-0000-0000-00009B040000}"/>
    <cellStyle name="Punto0 38" xfId="860" xr:uid="{00000000-0005-0000-0000-00009C040000}"/>
    <cellStyle name="Punto0 39" xfId="861" xr:uid="{00000000-0005-0000-0000-00009D040000}"/>
    <cellStyle name="Punto0 4" xfId="862" xr:uid="{00000000-0005-0000-0000-00009E040000}"/>
    <cellStyle name="Punto0 40" xfId="863" xr:uid="{00000000-0005-0000-0000-00009F040000}"/>
    <cellStyle name="Punto0 41" xfId="864" xr:uid="{00000000-0005-0000-0000-0000A0040000}"/>
    <cellStyle name="Punto0 42" xfId="865" xr:uid="{00000000-0005-0000-0000-0000A1040000}"/>
    <cellStyle name="Punto0 43" xfId="866" xr:uid="{00000000-0005-0000-0000-0000A2040000}"/>
    <cellStyle name="Punto0 44" xfId="867" xr:uid="{00000000-0005-0000-0000-0000A3040000}"/>
    <cellStyle name="Punto0 5" xfId="868" xr:uid="{00000000-0005-0000-0000-0000A4040000}"/>
    <cellStyle name="Punto0 6" xfId="869" xr:uid="{00000000-0005-0000-0000-0000A5040000}"/>
    <cellStyle name="Punto0 7" xfId="870" xr:uid="{00000000-0005-0000-0000-0000A6040000}"/>
    <cellStyle name="Punto0 8" xfId="871" xr:uid="{00000000-0005-0000-0000-0000A7040000}"/>
    <cellStyle name="Punto0 9" xfId="872" xr:uid="{00000000-0005-0000-0000-0000A8040000}"/>
    <cellStyle name="Punto0 9 2" xfId="873" xr:uid="{00000000-0005-0000-0000-0000A9040000}"/>
    <cellStyle name="Punto0_2567-BLI-0000-CO-001-Itemizado_Rev C" xfId="874" xr:uid="{00000000-0005-0000-0000-0000AA040000}"/>
    <cellStyle name="Punto1 - Estilo1" xfId="875" xr:uid="{00000000-0005-0000-0000-0000AB040000}"/>
    <cellStyle name="Punto1 - Estilo1 2" xfId="876" xr:uid="{00000000-0005-0000-0000-0000AC040000}"/>
    <cellStyle name="Punto1 - Estilo1 2 2" xfId="877" xr:uid="{00000000-0005-0000-0000-0000AD040000}"/>
    <cellStyle name="QtReview" xfId="878" xr:uid="{00000000-0005-0000-0000-0000AE040000}"/>
    <cellStyle name="RISKbigPercent" xfId="879" xr:uid="{00000000-0005-0000-0000-0000AF040000}"/>
    <cellStyle name="RISKbigPercent 2" xfId="880" xr:uid="{00000000-0005-0000-0000-0000B0040000}"/>
    <cellStyle name="RISKbigPercent 3" xfId="881" xr:uid="{00000000-0005-0000-0000-0000B1040000}"/>
    <cellStyle name="RISKbigPercent 4" xfId="882" xr:uid="{00000000-0005-0000-0000-0000B2040000}"/>
    <cellStyle name="RISKbigPercent 5" xfId="883" xr:uid="{00000000-0005-0000-0000-0000B3040000}"/>
    <cellStyle name="RISKbigPercent 6" xfId="884" xr:uid="{00000000-0005-0000-0000-0000B4040000}"/>
    <cellStyle name="RISKbigPercent 7" xfId="885" xr:uid="{00000000-0005-0000-0000-0000B5040000}"/>
    <cellStyle name="RISKbigPercent 7 2" xfId="886" xr:uid="{00000000-0005-0000-0000-0000B6040000}"/>
    <cellStyle name="RISKblandrEdge" xfId="887" xr:uid="{00000000-0005-0000-0000-0000B7040000}"/>
    <cellStyle name="RISKblandrEdge 2" xfId="888" xr:uid="{00000000-0005-0000-0000-0000B8040000}"/>
    <cellStyle name="RISKblandrEdge 2 2" xfId="2009" xr:uid="{00000000-0005-0000-0000-0000B9040000}"/>
    <cellStyle name="RISKblandrEdge 2 3" xfId="12537" xr:uid="{98455D72-4813-4AF8-943F-2D4510E6C4C8}"/>
    <cellStyle name="RISKblandrEdge 3" xfId="889" xr:uid="{00000000-0005-0000-0000-0000BA040000}"/>
    <cellStyle name="RISKblandrEdge 3 2" xfId="2010" xr:uid="{00000000-0005-0000-0000-0000BB040000}"/>
    <cellStyle name="RISKblandrEdge 3 3" xfId="12538" xr:uid="{C6F09AA3-5D34-4FC5-AC0B-C3A53084A0EB}"/>
    <cellStyle name="RISKblandrEdge 4" xfId="890" xr:uid="{00000000-0005-0000-0000-0000BC040000}"/>
    <cellStyle name="RISKblandrEdge 4 2" xfId="2011" xr:uid="{00000000-0005-0000-0000-0000BD040000}"/>
    <cellStyle name="RISKblandrEdge 4 3" xfId="12539" xr:uid="{1D241F5D-FBCD-44A3-ACA9-708F1326A663}"/>
    <cellStyle name="RISKblandrEdge 5" xfId="891" xr:uid="{00000000-0005-0000-0000-0000BE040000}"/>
    <cellStyle name="RISKblandrEdge 5 2" xfId="2012" xr:uid="{00000000-0005-0000-0000-0000BF040000}"/>
    <cellStyle name="RISKblandrEdge 5 3" xfId="12540" xr:uid="{91E7B7F5-0D22-490C-99BB-0C6D2C31C1C4}"/>
    <cellStyle name="RISKblandrEdge 6" xfId="892" xr:uid="{00000000-0005-0000-0000-0000C0040000}"/>
    <cellStyle name="RISKblandrEdge 6 2" xfId="2013" xr:uid="{00000000-0005-0000-0000-0000C1040000}"/>
    <cellStyle name="RISKblandrEdge 6 3" xfId="12541" xr:uid="{CE93CB59-800E-4EA1-8BC1-D8EE87E116D2}"/>
    <cellStyle name="RISKblandrEdge 7" xfId="893" xr:uid="{00000000-0005-0000-0000-0000C2040000}"/>
    <cellStyle name="RISKblandrEdge 7 2" xfId="894" xr:uid="{00000000-0005-0000-0000-0000C3040000}"/>
    <cellStyle name="RISKblandrEdge 7 2 2" xfId="2015" xr:uid="{00000000-0005-0000-0000-0000C4040000}"/>
    <cellStyle name="RISKblandrEdge 7 2 3" xfId="12543" xr:uid="{BDAF9B9E-A837-42D8-895E-CBAD474D716B}"/>
    <cellStyle name="RISKblandrEdge 7 3" xfId="2014" xr:uid="{00000000-0005-0000-0000-0000C5040000}"/>
    <cellStyle name="RISKblandrEdge 7 4" xfId="12542" xr:uid="{7E9AA1CC-D202-4EBB-B4EC-13C864654985}"/>
    <cellStyle name="RISKblandrEdge 8" xfId="2008" xr:uid="{00000000-0005-0000-0000-0000C6040000}"/>
    <cellStyle name="RISKblandrEdge 9" xfId="12536" xr:uid="{67FDC8FA-C568-4FBC-B10B-22C21BDCF453}"/>
    <cellStyle name="RISKblCorner" xfId="895" xr:uid="{00000000-0005-0000-0000-0000C7040000}"/>
    <cellStyle name="RISKblCorner 10" xfId="6853" xr:uid="{9A0F2B9D-0C64-4519-BFDD-1045DB2CCF45}"/>
    <cellStyle name="RISKblCorner 11" xfId="12544" xr:uid="{B858A3A7-4F44-4185-8487-C9943B3FB1A6}"/>
    <cellStyle name="RISKblCorner 2" xfId="896" xr:uid="{00000000-0005-0000-0000-0000C8040000}"/>
    <cellStyle name="RISKblCorner 2 2" xfId="1755" xr:uid="{00000000-0005-0000-0000-0000C9040000}"/>
    <cellStyle name="RISKblCorner 2 2 2" xfId="3855" xr:uid="{82DEF3F2-8DCA-4332-AA51-C55AC47BC702}"/>
    <cellStyle name="RISKblCorner 2 3" xfId="6592" xr:uid="{ACD868D0-25E9-48E0-AA70-B3B5A4AD1951}"/>
    <cellStyle name="RISKblCorner 2 4" xfId="6854" xr:uid="{5C6923AA-4256-48FB-A44B-7E7FE629DC6B}"/>
    <cellStyle name="RISKblCorner 2 5" xfId="12545" xr:uid="{BD816EF7-02B3-45E2-8281-8EEC4E9E8504}"/>
    <cellStyle name="RISKblCorner 3" xfId="897" xr:uid="{00000000-0005-0000-0000-0000CA040000}"/>
    <cellStyle name="RISKblCorner 3 2" xfId="1756" xr:uid="{00000000-0005-0000-0000-0000CB040000}"/>
    <cellStyle name="RISKblCorner 3 2 2" xfId="3856" xr:uid="{ED749042-6BB0-49A1-A0A3-A8DA28932E61}"/>
    <cellStyle name="RISKblCorner 3 3" xfId="6593" xr:uid="{F5C3840C-318A-45D0-B3E1-14D7B64109C4}"/>
    <cellStyle name="RISKblCorner 3 4" xfId="6855" xr:uid="{2178C5B3-9797-486F-9045-CE2FDFE34F8E}"/>
    <cellStyle name="RISKblCorner 3 5" xfId="12546" xr:uid="{3120BDCD-4A4F-49D3-A511-CE88D4ACF844}"/>
    <cellStyle name="RISKblCorner 4" xfId="898" xr:uid="{00000000-0005-0000-0000-0000CC040000}"/>
    <cellStyle name="RISKblCorner 4 2" xfId="1757" xr:uid="{00000000-0005-0000-0000-0000CD040000}"/>
    <cellStyle name="RISKblCorner 4 2 2" xfId="3857" xr:uid="{ED9EA3FB-9B29-42EC-AF30-F1A41DE7C498}"/>
    <cellStyle name="RISKblCorner 4 3" xfId="6594" xr:uid="{4E896459-4BC7-4FC7-BD6C-1652B45A56F6}"/>
    <cellStyle name="RISKblCorner 4 4" xfId="6856" xr:uid="{B32EB8CA-5798-421A-8EF0-8E8BDCFB05F4}"/>
    <cellStyle name="RISKblCorner 4 5" xfId="12547" xr:uid="{FB3CA991-C559-4076-A72E-BE8940D08BC4}"/>
    <cellStyle name="RISKblCorner 5" xfId="899" xr:uid="{00000000-0005-0000-0000-0000CE040000}"/>
    <cellStyle name="RISKblCorner 5 2" xfId="1758" xr:uid="{00000000-0005-0000-0000-0000CF040000}"/>
    <cellStyle name="RISKblCorner 5 2 2" xfId="3858" xr:uid="{4BEDA408-E38B-4397-AC14-C35F30B3E794}"/>
    <cellStyle name="RISKblCorner 5 3" xfId="6595" xr:uid="{2BE0CC88-FBB7-44C8-AC54-5AFA257B3971}"/>
    <cellStyle name="RISKblCorner 5 4" xfId="6857" xr:uid="{4D5FE2A8-C9D8-4290-AF33-5BAEB36ED3AB}"/>
    <cellStyle name="RISKblCorner 5 5" xfId="12548" xr:uid="{9BD67F34-60AA-4525-91E0-6C5E35B1D167}"/>
    <cellStyle name="RISKblCorner 6" xfId="900" xr:uid="{00000000-0005-0000-0000-0000D0040000}"/>
    <cellStyle name="RISKblCorner 6 2" xfId="1759" xr:uid="{00000000-0005-0000-0000-0000D1040000}"/>
    <cellStyle name="RISKblCorner 6 2 2" xfId="3859" xr:uid="{C54D7364-9BEC-4849-A3C1-2D474DD4D2B6}"/>
    <cellStyle name="RISKblCorner 6 3" xfId="6596" xr:uid="{B585294F-EB3B-4D67-A40D-175430DA84E4}"/>
    <cellStyle name="RISKblCorner 6 4" xfId="6858" xr:uid="{4457B4A0-1138-4E65-8467-90D6CE253550}"/>
    <cellStyle name="RISKblCorner 6 5" xfId="12549" xr:uid="{A4D00ECC-F3DF-4918-BE1B-88601D10C47A}"/>
    <cellStyle name="RISKblCorner 7" xfId="901" xr:uid="{00000000-0005-0000-0000-0000D2040000}"/>
    <cellStyle name="RISKblCorner 7 2" xfId="902" xr:uid="{00000000-0005-0000-0000-0000D3040000}"/>
    <cellStyle name="RISKblCorner 7 2 2" xfId="1761" xr:uid="{00000000-0005-0000-0000-0000D4040000}"/>
    <cellStyle name="RISKblCorner 7 2 2 2" xfId="3861" xr:uid="{C2002FB1-C524-4D3B-A456-5C48A78A6DE9}"/>
    <cellStyle name="RISKblCorner 7 2 3" xfId="6598" xr:uid="{D7040453-E4D9-488E-81F0-37BA5354FD76}"/>
    <cellStyle name="RISKblCorner 7 2 4" xfId="6860" xr:uid="{578B247A-EBBD-4F45-9320-3CC637C3452A}"/>
    <cellStyle name="RISKblCorner 7 2 5" xfId="12551" xr:uid="{18F1FE04-D9F9-48C4-B5AD-84C049B57B4D}"/>
    <cellStyle name="RISKblCorner 7 3" xfId="1760" xr:uid="{00000000-0005-0000-0000-0000D5040000}"/>
    <cellStyle name="RISKblCorner 7 3 2" xfId="3860" xr:uid="{17BD42E5-B99A-4660-9F77-6DA4BFBA2DEC}"/>
    <cellStyle name="RISKblCorner 7 4" xfId="6597" xr:uid="{EDDE52EA-C28A-4271-B9C9-198A61344229}"/>
    <cellStyle name="RISKblCorner 7 5" xfId="6859" xr:uid="{E6097647-6BBE-4FF0-8597-CC742BE85A74}"/>
    <cellStyle name="RISKblCorner 7 6" xfId="12550" xr:uid="{1CCDFA22-23DF-4F90-86D2-960CFB380BCD}"/>
    <cellStyle name="RISKblCorner 8" xfId="1754" xr:uid="{00000000-0005-0000-0000-0000D6040000}"/>
    <cellStyle name="RISKblCorner 8 2" xfId="3854" xr:uid="{7D996BFA-5B01-46BD-8207-FAB5BA01A7A5}"/>
    <cellStyle name="RISKblCorner 9" xfId="6591" xr:uid="{3FF6A3AD-F1F3-48A3-8C65-29CCAA74E93F}"/>
    <cellStyle name="RISKbottomEdge" xfId="903" xr:uid="{00000000-0005-0000-0000-0000D7040000}"/>
    <cellStyle name="RISKbottomEdge 10" xfId="6861" xr:uid="{830443C8-32D6-4DF0-A52F-01B40252ED4E}"/>
    <cellStyle name="RISKbottomEdge 11" xfId="12552" xr:uid="{7DDD39BE-3EE8-4B57-BE6C-E9CD9B016BDD}"/>
    <cellStyle name="RISKbottomEdge 2" xfId="904" xr:uid="{00000000-0005-0000-0000-0000D8040000}"/>
    <cellStyle name="RISKbottomEdge 2 2" xfId="1763" xr:uid="{00000000-0005-0000-0000-0000D9040000}"/>
    <cellStyle name="RISKbottomEdge 2 2 2" xfId="3863" xr:uid="{1F9D8209-5A81-4F03-9C6C-2A0705E1219B}"/>
    <cellStyle name="RISKbottomEdge 2 3" xfId="6600" xr:uid="{AFD80F62-4AD8-44D0-B036-84E26B2F8FE3}"/>
    <cellStyle name="RISKbottomEdge 2 4" xfId="6862" xr:uid="{4499B7C9-CCBD-4739-821B-7EDEE82E70D9}"/>
    <cellStyle name="RISKbottomEdge 2 5" xfId="12553" xr:uid="{A119E750-C324-44D0-9538-A30242A1AF75}"/>
    <cellStyle name="RISKbottomEdge 3" xfId="905" xr:uid="{00000000-0005-0000-0000-0000DA040000}"/>
    <cellStyle name="RISKbottomEdge 3 2" xfId="1764" xr:uid="{00000000-0005-0000-0000-0000DB040000}"/>
    <cellStyle name="RISKbottomEdge 3 2 2" xfId="3864" xr:uid="{73DB2484-B0CE-41EC-BDB6-109A013C7E8F}"/>
    <cellStyle name="RISKbottomEdge 3 3" xfId="6601" xr:uid="{91AB8196-C103-4632-8EC6-893282008EFD}"/>
    <cellStyle name="RISKbottomEdge 3 4" xfId="6863" xr:uid="{2222289D-2074-4E69-8EFC-D29A9F80CF79}"/>
    <cellStyle name="RISKbottomEdge 3 5" xfId="12554" xr:uid="{7B751AA8-2AD1-4545-AA71-F82C3795302B}"/>
    <cellStyle name="RISKbottomEdge 4" xfId="906" xr:uid="{00000000-0005-0000-0000-0000DC040000}"/>
    <cellStyle name="RISKbottomEdge 4 2" xfId="1765" xr:uid="{00000000-0005-0000-0000-0000DD040000}"/>
    <cellStyle name="RISKbottomEdge 4 2 2" xfId="3865" xr:uid="{07B830CF-1AFD-4C0F-ACA4-6F2AA948362B}"/>
    <cellStyle name="RISKbottomEdge 4 3" xfId="6602" xr:uid="{BE733FA8-C0E7-49D6-8119-AED825BC4047}"/>
    <cellStyle name="RISKbottomEdge 4 4" xfId="6864" xr:uid="{66F49D3E-8926-4D09-8E86-9C000A7E1858}"/>
    <cellStyle name="RISKbottomEdge 4 5" xfId="12555" xr:uid="{FB639926-5802-49EC-A94E-B37D3024833D}"/>
    <cellStyle name="RISKbottomEdge 5" xfId="907" xr:uid="{00000000-0005-0000-0000-0000DE040000}"/>
    <cellStyle name="RISKbottomEdge 5 2" xfId="1766" xr:uid="{00000000-0005-0000-0000-0000DF040000}"/>
    <cellStyle name="RISKbottomEdge 5 2 2" xfId="3866" xr:uid="{F9691830-19C1-478D-A4BB-9A7718BFB890}"/>
    <cellStyle name="RISKbottomEdge 5 3" xfId="6603" xr:uid="{1A1F3F2E-E209-415B-9D35-8B014B379653}"/>
    <cellStyle name="RISKbottomEdge 5 4" xfId="6865" xr:uid="{D67D51B3-7140-40CE-A7B7-86D9FF64A3BF}"/>
    <cellStyle name="RISKbottomEdge 5 5" xfId="12556" xr:uid="{3A518BD9-F13D-4EE4-9BBF-36A87608E455}"/>
    <cellStyle name="RISKbottomEdge 6" xfId="908" xr:uid="{00000000-0005-0000-0000-0000E0040000}"/>
    <cellStyle name="RISKbottomEdge 6 2" xfId="1767" xr:uid="{00000000-0005-0000-0000-0000E1040000}"/>
    <cellStyle name="RISKbottomEdge 6 2 2" xfId="3867" xr:uid="{8409D0C5-D3D1-49A2-99D1-06AA4DF854AD}"/>
    <cellStyle name="RISKbottomEdge 6 3" xfId="6604" xr:uid="{B36BC8CF-E7E0-4DC4-AB4C-8B8EBAEFD81F}"/>
    <cellStyle name="RISKbottomEdge 6 4" xfId="6866" xr:uid="{47C27B5A-38FA-483D-BE7F-27A4C011EF6A}"/>
    <cellStyle name="RISKbottomEdge 6 5" xfId="12557" xr:uid="{81CD2208-7073-4EBA-ABE4-FA1E98A5FD34}"/>
    <cellStyle name="RISKbottomEdge 7" xfId="909" xr:uid="{00000000-0005-0000-0000-0000E2040000}"/>
    <cellStyle name="RISKbottomEdge 7 2" xfId="910" xr:uid="{00000000-0005-0000-0000-0000E3040000}"/>
    <cellStyle name="RISKbottomEdge 7 2 2" xfId="1769" xr:uid="{00000000-0005-0000-0000-0000E4040000}"/>
    <cellStyle name="RISKbottomEdge 7 2 2 2" xfId="3869" xr:uid="{0F60E1FA-7220-4D83-834B-6BAD9890EE76}"/>
    <cellStyle name="RISKbottomEdge 7 2 3" xfId="6606" xr:uid="{41D2854D-3A92-4AB2-B6CC-68BD57CF7E42}"/>
    <cellStyle name="RISKbottomEdge 7 2 4" xfId="6868" xr:uid="{7A6FE555-59B8-49C2-A25B-FEECF479980C}"/>
    <cellStyle name="RISKbottomEdge 7 2 5" xfId="12559" xr:uid="{A1087A3B-6005-4202-9E9D-3A5DEE8C9B63}"/>
    <cellStyle name="RISKbottomEdge 7 3" xfId="1768" xr:uid="{00000000-0005-0000-0000-0000E5040000}"/>
    <cellStyle name="RISKbottomEdge 7 3 2" xfId="3868" xr:uid="{3850D756-01DA-4015-AD3A-D5746C5E4D5E}"/>
    <cellStyle name="RISKbottomEdge 7 4" xfId="6605" xr:uid="{625046AB-4F71-4BAF-9267-149AEF25F9AA}"/>
    <cellStyle name="RISKbottomEdge 7 5" xfId="6867" xr:uid="{468601C6-CFDA-4CBE-B581-B8F79406ABB7}"/>
    <cellStyle name="RISKbottomEdge 7 6" xfId="12558" xr:uid="{131D4FBA-71F9-4A92-A53A-79B3099E63B1}"/>
    <cellStyle name="RISKbottomEdge 8" xfId="1762" xr:uid="{00000000-0005-0000-0000-0000E6040000}"/>
    <cellStyle name="RISKbottomEdge 8 2" xfId="3862" xr:uid="{51F0C9B0-34A9-4AE2-BD69-6A4AE65AF3DF}"/>
    <cellStyle name="RISKbottomEdge 9" xfId="6599" xr:uid="{27716036-6C7A-47B5-AFC2-F72D2814D62A}"/>
    <cellStyle name="RISKbrCorner" xfId="911" xr:uid="{00000000-0005-0000-0000-0000E7040000}"/>
    <cellStyle name="RISKbrCorner 2" xfId="912" xr:uid="{00000000-0005-0000-0000-0000E8040000}"/>
    <cellStyle name="RISKbrCorner 2 2" xfId="2017" xr:uid="{00000000-0005-0000-0000-0000E9040000}"/>
    <cellStyle name="RISKbrCorner 2 3" xfId="12561" xr:uid="{100F1062-2A72-43F0-8993-CEBD72D241C9}"/>
    <cellStyle name="RISKbrCorner 3" xfId="913" xr:uid="{00000000-0005-0000-0000-0000EA040000}"/>
    <cellStyle name="RISKbrCorner 3 2" xfId="2018" xr:uid="{00000000-0005-0000-0000-0000EB040000}"/>
    <cellStyle name="RISKbrCorner 3 3" xfId="12562" xr:uid="{10BD927C-4D4F-4A8C-BAE2-D0363067405D}"/>
    <cellStyle name="RISKbrCorner 4" xfId="914" xr:uid="{00000000-0005-0000-0000-0000EC040000}"/>
    <cellStyle name="RISKbrCorner 4 2" xfId="2019" xr:uid="{00000000-0005-0000-0000-0000ED040000}"/>
    <cellStyle name="RISKbrCorner 4 3" xfId="12563" xr:uid="{2F30BE64-61D5-4EE4-A0D3-9D89F0CBB691}"/>
    <cellStyle name="RISKbrCorner 5" xfId="915" xr:uid="{00000000-0005-0000-0000-0000EE040000}"/>
    <cellStyle name="RISKbrCorner 5 2" xfId="2020" xr:uid="{00000000-0005-0000-0000-0000EF040000}"/>
    <cellStyle name="RISKbrCorner 5 3" xfId="12564" xr:uid="{2DE50A88-AC30-41BD-9967-F4037A7B00CD}"/>
    <cellStyle name="RISKbrCorner 6" xfId="916" xr:uid="{00000000-0005-0000-0000-0000F0040000}"/>
    <cellStyle name="RISKbrCorner 6 2" xfId="2021" xr:uid="{00000000-0005-0000-0000-0000F1040000}"/>
    <cellStyle name="RISKbrCorner 6 3" xfId="12565" xr:uid="{DCB313CF-B020-446C-951C-F35F90F44448}"/>
    <cellStyle name="RISKbrCorner 7" xfId="917" xr:uid="{00000000-0005-0000-0000-0000F2040000}"/>
    <cellStyle name="RISKbrCorner 7 2" xfId="918" xr:uid="{00000000-0005-0000-0000-0000F3040000}"/>
    <cellStyle name="RISKbrCorner 7 2 2" xfId="2023" xr:uid="{00000000-0005-0000-0000-0000F4040000}"/>
    <cellStyle name="RISKbrCorner 7 2 3" xfId="12567" xr:uid="{718CE4A4-A2F1-4B69-BAF2-162A4AE4B1C7}"/>
    <cellStyle name="RISKbrCorner 7 3" xfId="2022" xr:uid="{00000000-0005-0000-0000-0000F5040000}"/>
    <cellStyle name="RISKbrCorner 7 4" xfId="12566" xr:uid="{C22B42AE-522A-4449-8772-345E2498A333}"/>
    <cellStyle name="RISKbrCorner 8" xfId="2016" xr:uid="{00000000-0005-0000-0000-0000F6040000}"/>
    <cellStyle name="RISKbrCorner 9" xfId="12560" xr:uid="{D8B38816-93AE-4003-8F4D-22347C48EDC7}"/>
    <cellStyle name="RISKdarkBoxed" xfId="919" xr:uid="{00000000-0005-0000-0000-0000F7040000}"/>
    <cellStyle name="RISKdarkBoxed 10" xfId="1513" xr:uid="{00000000-0005-0000-0000-0000F8040000}"/>
    <cellStyle name="RISKdarkBoxed 10 2" xfId="3614" xr:uid="{69B9A090-B8F7-42F5-9EF1-5AEB9A7F70AB}"/>
    <cellStyle name="RISKdarkBoxed 10 3" xfId="4922" xr:uid="{4B28B2F4-7E3B-4A6C-90B7-F16CA285ED8D}"/>
    <cellStyle name="RISKdarkBoxed 10 4" xfId="8129" xr:uid="{584856DB-6869-4476-90AA-BE8A4BCD530F}"/>
    <cellStyle name="RISKdarkBoxed 11" xfId="1770" xr:uid="{00000000-0005-0000-0000-0000F9040000}"/>
    <cellStyle name="RISKdarkBoxed 11 2" xfId="3870" xr:uid="{6C863D99-CE89-4085-A0CA-A1883C9ABE7A}"/>
    <cellStyle name="RISKdarkBoxed 11 3" xfId="5174" xr:uid="{21B9A5A5-1289-42EB-BA5E-6A21623A3225}"/>
    <cellStyle name="RISKdarkBoxed 11 4" xfId="8368" xr:uid="{04D8D3B6-44BE-49C3-91D7-D2E131459ECE}"/>
    <cellStyle name="RISKdarkBoxed 12" xfId="2024" xr:uid="{00000000-0005-0000-0000-0000FA040000}"/>
    <cellStyle name="RISKdarkBoxed 12 2" xfId="4114" xr:uid="{FE5CB107-C8FF-46F8-832F-3C883D87A633}"/>
    <cellStyle name="RISKdarkBoxed 12 3" xfId="5412" xr:uid="{6BD06666-0F6A-4477-AAB1-3B53AD4B14B3}"/>
    <cellStyle name="RISKdarkBoxed 12 4" xfId="8604" xr:uid="{75BE8F49-A772-4BEC-BFA6-C9BEF1E93E7F}"/>
    <cellStyle name="RISKdarkBoxed 13" xfId="2266" xr:uid="{5DD2AAE7-95EE-45AA-921B-9F13074E0F79}"/>
    <cellStyle name="RISKdarkBoxed 13 2" xfId="5648" xr:uid="{729FFEB8-5F78-4F20-8536-DA01225803B5}"/>
    <cellStyle name="RISKdarkBoxed 13 3" xfId="8840" xr:uid="{532EB3A5-1C97-4C3A-9672-7671CEAAC9F3}"/>
    <cellStyle name="RISKdarkBoxed 14" xfId="2502" xr:uid="{894375E1-D4CF-470E-AF1D-4CC064DE2B23}"/>
    <cellStyle name="RISKdarkBoxed 14 2" xfId="5878" xr:uid="{402D6406-5902-41EA-BDF4-18A6B2A9AF7C}"/>
    <cellStyle name="RISKdarkBoxed 14 3" xfId="9070" xr:uid="{15D0F284-9642-4DF9-9EC2-CBAA2789B6CA}"/>
    <cellStyle name="RISKdarkBoxed 15" xfId="2741" xr:uid="{B70E4D02-C93E-4339-B31A-B3401B5A292D}"/>
    <cellStyle name="RISKdarkBoxed 15 2" xfId="6111" xr:uid="{511F4E30-30FA-463B-9706-9C0E8759D8D5}"/>
    <cellStyle name="RISKdarkBoxed 15 3" xfId="9300" xr:uid="{601A88EF-0127-49D4-BB41-7FA5686A8446}"/>
    <cellStyle name="RISKdarkBoxed 16" xfId="2976" xr:uid="{9A26D88C-FF82-48FC-9524-4A459C20C88C}"/>
    <cellStyle name="RISKdarkBoxed 16 2" xfId="6344" xr:uid="{60B8905F-98CC-47AD-81D2-0B470CE7F8A2}"/>
    <cellStyle name="RISKdarkBoxed 16 3" xfId="9530" xr:uid="{80FB44BA-8EE7-4AEA-8746-6DD8D71E7C54}"/>
    <cellStyle name="RISKdarkBoxed 17" xfId="3188" xr:uid="{8BBD9BD8-8735-49AE-A658-191A94889B7D}"/>
    <cellStyle name="RISKdarkBoxed 17 2" xfId="6607" xr:uid="{9EBE291D-79C3-461F-9311-DFD56FF4B34F}"/>
    <cellStyle name="RISKdarkBoxed 17 3" xfId="9772" xr:uid="{2771CE4A-6B95-4867-ABC7-CD84F5F15C44}"/>
    <cellStyle name="RISKdarkBoxed 18" xfId="6869" xr:uid="{751F5981-98CE-4C2D-B4DD-F99D402185B9}"/>
    <cellStyle name="RISKdarkBoxed 18 2" xfId="10014" xr:uid="{C30E67DD-9064-459C-91C7-0CB6FA451E20}"/>
    <cellStyle name="RISKdarkBoxed 19" xfId="7148" xr:uid="{BACE1629-ECA4-4A78-93FC-64B634ACBB18}"/>
    <cellStyle name="RISKdarkBoxed 19 2" xfId="10287" xr:uid="{7210555A-ABBC-4A47-A431-94AB05A3DF85}"/>
    <cellStyle name="RISKdarkBoxed 2" xfId="920" xr:uid="{00000000-0005-0000-0000-0000FB040000}"/>
    <cellStyle name="RISKdarkBoxed 2 10" xfId="2977" xr:uid="{8B4166FF-6489-407D-BFB8-F4AFED69ED19}"/>
    <cellStyle name="RISKdarkBoxed 2 10 2" xfId="6345" xr:uid="{CE81CB2A-060B-4A74-878C-F75335AD1597}"/>
    <cellStyle name="RISKdarkBoxed 2 10 3" xfId="9531" xr:uid="{6DB565FC-9B9D-4D56-91A4-2F65C33A8783}"/>
    <cellStyle name="RISKdarkBoxed 2 11" xfId="3189" xr:uid="{AC6F7499-97CF-468E-B6E0-2DC388239411}"/>
    <cellStyle name="RISKdarkBoxed 2 11 2" xfId="6608" xr:uid="{1F1FA9FD-49D3-45FD-ABCD-6711A3B81016}"/>
    <cellStyle name="RISKdarkBoxed 2 11 3" xfId="9773" xr:uid="{C5C6F281-FB5D-4516-8F25-EF7C8E63BCAA}"/>
    <cellStyle name="RISKdarkBoxed 2 12" xfId="6870" xr:uid="{6D48A3AE-484B-4314-B34A-71B97205B2CE}"/>
    <cellStyle name="RISKdarkBoxed 2 12 2" xfId="10015" xr:uid="{0E83FAA8-8E02-432B-B1E3-37DEB44A3E98}"/>
    <cellStyle name="RISKdarkBoxed 2 13" xfId="7149" xr:uid="{3E27EA93-DF99-4281-A7B2-021A69E97FC8}"/>
    <cellStyle name="RISKdarkBoxed 2 13 2" xfId="10288" xr:uid="{6012A91C-7092-4683-BBEB-B5144F2CA927}"/>
    <cellStyle name="RISKdarkBoxed 2 14" xfId="7462" xr:uid="{3D915C4E-A009-451C-A42B-010C0AC06D0B}"/>
    <cellStyle name="RISKdarkBoxed 2 14 2" xfId="10597" xr:uid="{A7C4D5AE-132D-4708-B6AF-7DB776C922E7}"/>
    <cellStyle name="RISKdarkBoxed 2 15" xfId="7306" xr:uid="{166DE5E0-6D64-4062-B937-77B742D9746C}"/>
    <cellStyle name="RISKdarkBoxed 2 15 2" xfId="10444" xr:uid="{85FB457F-32DD-4939-BA7B-FA4892EB4D1A}"/>
    <cellStyle name="RISKdarkBoxed 2 16" xfId="4490" xr:uid="{C189363B-017E-4F65-9AC9-08BAC89F7339}"/>
    <cellStyle name="RISKdarkBoxed 2 17" xfId="4336" xr:uid="{C95BABF9-0986-4F72-8F30-D33D38A6467E}"/>
    <cellStyle name="RISKdarkBoxed 2 18" xfId="10997" xr:uid="{D8DFCECB-2BE3-48DA-ABAB-46A5A7A77B7B}"/>
    <cellStyle name="RISKdarkBoxed 2 19" xfId="11410" xr:uid="{3ABA2094-C854-4D7E-AD46-F77ACD7DB878}"/>
    <cellStyle name="RISKdarkBoxed 2 2" xfId="921" xr:uid="{00000000-0005-0000-0000-0000FC040000}"/>
    <cellStyle name="RISKdarkBoxed 2 2 10" xfId="3190" xr:uid="{1584A1F2-4BF2-4827-8E67-6B9BE03621F0}"/>
    <cellStyle name="RISKdarkBoxed 2 2 10 2" xfId="6609" xr:uid="{B68ABB23-2F9A-4FC9-8995-61FE80E93108}"/>
    <cellStyle name="RISKdarkBoxed 2 2 10 3" xfId="9774" xr:uid="{9799D1A2-94C8-4E62-BE10-C361591892A4}"/>
    <cellStyle name="RISKdarkBoxed 2 2 11" xfId="6871" xr:uid="{644D23D0-E128-4283-A693-110ACBA0FD5E}"/>
    <cellStyle name="RISKdarkBoxed 2 2 11 2" xfId="10016" xr:uid="{27EA27FF-2F9E-4675-9276-9327213EE50D}"/>
    <cellStyle name="RISKdarkBoxed 2 2 12" xfId="7150" xr:uid="{ED435394-9B0A-4C7D-8D11-649B488BDC23}"/>
    <cellStyle name="RISKdarkBoxed 2 2 12 2" xfId="10289" xr:uid="{9A8CDE20-0C28-41E3-9ACD-30FB9D2FC6FD}"/>
    <cellStyle name="RISKdarkBoxed 2 2 13" xfId="7463" xr:uid="{CDD1702E-6F86-4C98-AA29-7E75AD775FB0}"/>
    <cellStyle name="RISKdarkBoxed 2 2 13 2" xfId="10598" xr:uid="{B772BF71-B0F4-4B4C-8929-3B41CA2D7A4C}"/>
    <cellStyle name="RISKdarkBoxed 2 2 14" xfId="7305" xr:uid="{9E7FE47D-B3B7-4115-BD08-8581C99F58AA}"/>
    <cellStyle name="RISKdarkBoxed 2 2 14 2" xfId="10443" xr:uid="{5A234112-D710-4972-9185-58EEBF8A0875}"/>
    <cellStyle name="RISKdarkBoxed 2 2 15" xfId="4491" xr:uid="{251E92F5-EAB4-4486-8E72-02D5EBA6AC37}"/>
    <cellStyle name="RISKdarkBoxed 2 2 16" xfId="4335" xr:uid="{1DEBA5B8-DDF4-4D0A-8640-9CE29A249D60}"/>
    <cellStyle name="RISKdarkBoxed 2 2 17" xfId="10998" xr:uid="{B6F3A488-8F4E-4CA2-9CE7-3A1F59D374C4}"/>
    <cellStyle name="RISKdarkBoxed 2 2 18" xfId="11411" xr:uid="{550B5864-5473-43A8-960D-829B93D8CCC5}"/>
    <cellStyle name="RISKdarkBoxed 2 2 19" xfId="11182" xr:uid="{D575A63A-7809-4AA4-B6BA-2F58C87EE7F1}"/>
    <cellStyle name="RISKdarkBoxed 2 2 2" xfId="1311" xr:uid="{00000000-0005-0000-0000-0000FD040000}"/>
    <cellStyle name="RISKdarkBoxed 2 2 2 2" xfId="3422" xr:uid="{3F638D55-A64C-4362-97FF-940D86421D27}"/>
    <cellStyle name="RISKdarkBoxed 2 2 2 3" xfId="4728" xr:uid="{C28BC4EE-E6CF-4A38-9FCE-7B4DC2CD19C1}"/>
    <cellStyle name="RISKdarkBoxed 2 2 2 4" xfId="7938" xr:uid="{83A548B3-04CE-4D09-8F2E-4A5B6C1E92D5}"/>
    <cellStyle name="RISKdarkBoxed 2 2 20" xfId="11887" xr:uid="{7EDCFEAA-783E-48E8-8BF3-81FE6CCF728E}"/>
    <cellStyle name="RISKdarkBoxed 2 2 21" xfId="12093" xr:uid="{F5110C1F-FFF6-4D76-81CF-E29B23C4A877}"/>
    <cellStyle name="RISKdarkBoxed 2 2 22" xfId="12570" xr:uid="{A64D32E8-44B9-463D-A07C-FD040000063B}"/>
    <cellStyle name="RISKdarkBoxed 2 2 23" xfId="12301" xr:uid="{D749FB94-8E93-4E9A-A9D3-81EFA7024177}"/>
    <cellStyle name="RISKdarkBoxed 2 2 24" xfId="12707" xr:uid="{41CEC0EB-A90F-4A60-ACED-29E406DE84E7}"/>
    <cellStyle name="RISKdarkBoxed 2 2 25" xfId="13208" xr:uid="{1B5203DC-1690-43F1-A0DA-BBD55ED4F34A}"/>
    <cellStyle name="RISKdarkBoxed 2 2 26" xfId="13051" xr:uid="{17E389F3-8A58-4CA0-8369-808572C4B73F}"/>
    <cellStyle name="RISKdarkBoxed 2 2 3" xfId="1515" xr:uid="{00000000-0005-0000-0000-0000FE040000}"/>
    <cellStyle name="RISKdarkBoxed 2 2 3 2" xfId="3616" xr:uid="{C1CA02BA-BA73-461B-85DB-8C94B3C2FDA2}"/>
    <cellStyle name="RISKdarkBoxed 2 2 3 3" xfId="4924" xr:uid="{03C92C4B-7E8F-46BC-B8B7-F205C4A614AB}"/>
    <cellStyle name="RISKdarkBoxed 2 2 3 4" xfId="8131" xr:uid="{96D2D13F-3BA0-42EC-9FCF-7EBA0F6530DB}"/>
    <cellStyle name="RISKdarkBoxed 2 2 4" xfId="1772" xr:uid="{00000000-0005-0000-0000-0000FF040000}"/>
    <cellStyle name="RISKdarkBoxed 2 2 4 2" xfId="3872" xr:uid="{07023C1D-34B3-4F27-8C7D-B16F7478110D}"/>
    <cellStyle name="RISKdarkBoxed 2 2 4 3" xfId="5176" xr:uid="{75E5BBA5-6081-4273-8641-E0B5BCFA7055}"/>
    <cellStyle name="RISKdarkBoxed 2 2 4 4" xfId="8370" xr:uid="{B0EEF4C9-DFB1-4803-9C02-6581DC36C2E0}"/>
    <cellStyle name="RISKdarkBoxed 2 2 5" xfId="2026" xr:uid="{00000000-0005-0000-0000-000000050000}"/>
    <cellStyle name="RISKdarkBoxed 2 2 5 2" xfId="4116" xr:uid="{703695DC-64EF-4C90-9260-9054A839CBCB}"/>
    <cellStyle name="RISKdarkBoxed 2 2 5 3" xfId="5414" xr:uid="{85F874CA-5AD5-4CA5-B35C-02AA25FF0A38}"/>
    <cellStyle name="RISKdarkBoxed 2 2 5 4" xfId="8606" xr:uid="{20B96BEA-F360-4B65-9423-3002B788AF3B}"/>
    <cellStyle name="RISKdarkBoxed 2 2 6" xfId="2268" xr:uid="{73CABFD6-F467-4FD4-A39B-1280EFEF7495}"/>
    <cellStyle name="RISKdarkBoxed 2 2 6 2" xfId="5650" xr:uid="{FCE0084E-F547-475A-B8B1-33CD2D18849D}"/>
    <cellStyle name="RISKdarkBoxed 2 2 6 3" xfId="8842" xr:uid="{EB3FDC3A-5E53-435F-A1C7-DF1F9D8622C5}"/>
    <cellStyle name="RISKdarkBoxed 2 2 7" xfId="2504" xr:uid="{3D782BE4-5310-4C29-804D-F1666EE42397}"/>
    <cellStyle name="RISKdarkBoxed 2 2 7 2" xfId="5880" xr:uid="{87F9C5A7-22D4-4319-B87C-2E8082BA1AA9}"/>
    <cellStyle name="RISKdarkBoxed 2 2 7 3" xfId="9072" xr:uid="{2DF0686F-481D-4DCF-83D6-1CC145F60705}"/>
    <cellStyle name="RISKdarkBoxed 2 2 8" xfId="2743" xr:uid="{3F5C298F-720E-4534-BAD7-39EFB89F8468}"/>
    <cellStyle name="RISKdarkBoxed 2 2 8 2" xfId="6113" xr:uid="{02EB9BFF-D28A-4BB6-8DA1-82D7D3E4EEFB}"/>
    <cellStyle name="RISKdarkBoxed 2 2 8 3" xfId="9302" xr:uid="{0BA159F6-E80E-46E1-A649-01F80380533A}"/>
    <cellStyle name="RISKdarkBoxed 2 2 9" xfId="2978" xr:uid="{E92CAFB5-402F-4A76-BED7-C999D4B9B8ED}"/>
    <cellStyle name="RISKdarkBoxed 2 2 9 2" xfId="6346" xr:uid="{0213B5DE-7E43-4F25-B3B0-5ABBEED1D135}"/>
    <cellStyle name="RISKdarkBoxed 2 2 9 3" xfId="9532" xr:uid="{801C0623-BF46-4257-9DB4-2FE0D90F0AD7}"/>
    <cellStyle name="RISKdarkBoxed 2 20" xfId="11183" xr:uid="{178B8FB5-81D8-4E89-8F38-C51BA912DE83}"/>
    <cellStyle name="RISKdarkBoxed 2 21" xfId="11886" xr:uid="{74763B1D-92D4-4C9B-AC3C-173D34BDCF81}"/>
    <cellStyle name="RISKdarkBoxed 2 22" xfId="12092" xr:uid="{3FE8F75C-BFF2-4E5E-B664-CB54F6D013FD}"/>
    <cellStyle name="RISKdarkBoxed 2 23" xfId="12569" xr:uid="{424DDBAA-B8D8-4B14-B06D-1C503FE95060}"/>
    <cellStyle name="RISKdarkBoxed 2 24" xfId="12271" xr:uid="{A1CA6CD4-11C4-4085-806E-0D484A9DCF99}"/>
    <cellStyle name="RISKdarkBoxed 2 25" xfId="12706" xr:uid="{B6C4CDE4-0D97-4C5A-88EF-22CF1183B2AC}"/>
    <cellStyle name="RISKdarkBoxed 2 26" xfId="13207" xr:uid="{3A9ADF33-7C29-42F1-A281-B6F7599CBBF4}"/>
    <cellStyle name="RISKdarkBoxed 2 27" xfId="13052" xr:uid="{9BAE85F1-B19A-499F-A58B-B840DEAA02FE}"/>
    <cellStyle name="RISKdarkBoxed 2 3" xfId="1310" xr:uid="{00000000-0005-0000-0000-000001050000}"/>
    <cellStyle name="RISKdarkBoxed 2 3 2" xfId="3421" xr:uid="{7B45B92F-06C2-4CF8-8BDF-40697E2BDE1D}"/>
    <cellStyle name="RISKdarkBoxed 2 3 3" xfId="4727" xr:uid="{A7702B54-B61B-45B0-9F4B-9CF31E150B05}"/>
    <cellStyle name="RISKdarkBoxed 2 3 4" xfId="7937" xr:uid="{95C311E4-2CBE-42FF-B388-4E57807C4C0A}"/>
    <cellStyle name="RISKdarkBoxed 2 4" xfId="1514" xr:uid="{00000000-0005-0000-0000-000002050000}"/>
    <cellStyle name="RISKdarkBoxed 2 4 2" xfId="3615" xr:uid="{A05B6321-8CC0-495C-9181-BB63B74E28C5}"/>
    <cellStyle name="RISKdarkBoxed 2 4 3" xfId="4923" xr:uid="{DBD75368-A1A2-4555-B77E-691BF7C8B598}"/>
    <cellStyle name="RISKdarkBoxed 2 4 4" xfId="8130" xr:uid="{1979388E-232D-4BD7-90E9-CB54FD337A84}"/>
    <cellStyle name="RISKdarkBoxed 2 5" xfId="1771" xr:uid="{00000000-0005-0000-0000-000003050000}"/>
    <cellStyle name="RISKdarkBoxed 2 5 2" xfId="3871" xr:uid="{509D20EC-0606-49D4-A871-A1EF143800C3}"/>
    <cellStyle name="RISKdarkBoxed 2 5 3" xfId="5175" xr:uid="{5022010C-1B12-4DE2-B4DF-B0657613C77B}"/>
    <cellStyle name="RISKdarkBoxed 2 5 4" xfId="8369" xr:uid="{6B627F87-CD6A-4538-AEEF-7D077914E434}"/>
    <cellStyle name="RISKdarkBoxed 2 6" xfId="2025" xr:uid="{00000000-0005-0000-0000-000004050000}"/>
    <cellStyle name="RISKdarkBoxed 2 6 2" xfId="4115" xr:uid="{9AFDA273-4A15-498A-84E1-BF4AD55AA038}"/>
    <cellStyle name="RISKdarkBoxed 2 6 3" xfId="5413" xr:uid="{42E9489D-6400-4954-B34B-B0DB757CD986}"/>
    <cellStyle name="RISKdarkBoxed 2 6 4" xfId="8605" xr:uid="{8EE5AE90-13B7-44EA-8C88-7331FDE0CFC5}"/>
    <cellStyle name="RISKdarkBoxed 2 7" xfId="2267" xr:uid="{A8315038-9483-48A2-B78A-3F3135C3C0BC}"/>
    <cellStyle name="RISKdarkBoxed 2 7 2" xfId="5649" xr:uid="{CC8AD4AC-FE8D-47B5-B992-DA696B8F12C8}"/>
    <cellStyle name="RISKdarkBoxed 2 7 3" xfId="8841" xr:uid="{BA2AE707-8E55-494B-97C2-067334143FA2}"/>
    <cellStyle name="RISKdarkBoxed 2 8" xfId="2503" xr:uid="{A4E8130A-B7F3-4303-A800-59885EF4A5F4}"/>
    <cellStyle name="RISKdarkBoxed 2 8 2" xfId="5879" xr:uid="{199D529B-3BA1-4046-B8D2-4B698387DCA0}"/>
    <cellStyle name="RISKdarkBoxed 2 8 3" xfId="9071" xr:uid="{3B641C47-9708-47EE-8F95-F7599BEC3E55}"/>
    <cellStyle name="RISKdarkBoxed 2 9" xfId="2742" xr:uid="{E263849A-3D97-412E-BF87-1B1F93D999B7}"/>
    <cellStyle name="RISKdarkBoxed 2 9 2" xfId="6112" xr:uid="{BD990251-DE68-49C6-9761-92A2D6DBA5FE}"/>
    <cellStyle name="RISKdarkBoxed 2 9 3" xfId="9301" xr:uid="{8F8B6A98-C737-4553-A7D1-8E21149A3AEA}"/>
    <cellStyle name="RISKdarkBoxed 20" xfId="7461" xr:uid="{477373A5-08C6-4A5A-8763-992394F69591}"/>
    <cellStyle name="RISKdarkBoxed 20 2" xfId="10596" xr:uid="{33767E7E-3512-40AE-90A8-1EF7515B75AF}"/>
    <cellStyle name="RISKdarkBoxed 21" xfId="7307" xr:uid="{4F3076D3-FB4F-4CC9-A4DE-B03F2963928F}"/>
    <cellStyle name="RISKdarkBoxed 21 2" xfId="10445" xr:uid="{1C06C3DD-F1C2-407E-8316-0CD7055373ED}"/>
    <cellStyle name="RISKdarkBoxed 22" xfId="4489" xr:uid="{C4EC0E50-720C-42E2-B491-6922959925FE}"/>
    <cellStyle name="RISKdarkBoxed 23" xfId="4337" xr:uid="{977AF8E3-5892-4B67-B945-0BC663A1D307}"/>
    <cellStyle name="RISKdarkBoxed 24" xfId="10996" xr:uid="{0BC9388F-9610-4CA4-966E-490AAFA08EB6}"/>
    <cellStyle name="RISKdarkBoxed 25" xfId="11409" xr:uid="{CE3D81E7-0993-40D3-8BA0-D8F89C358DE6}"/>
    <cellStyle name="RISKdarkBoxed 26" xfId="11184" xr:uid="{EF228515-E841-492C-962E-CBBB22E769F8}"/>
    <cellStyle name="RISKdarkBoxed 27" xfId="11885" xr:uid="{90EDD5D7-16C5-45A5-A768-196B5117BA44}"/>
    <cellStyle name="RISKdarkBoxed 28" xfId="12091" xr:uid="{5F6CFFA9-3DE4-4D2F-8700-CE077D16283D}"/>
    <cellStyle name="RISKdarkBoxed 29" xfId="12568" xr:uid="{2C0B19D0-B5CD-49E9-9146-17A459D0AEFD}"/>
    <cellStyle name="RISKdarkBoxed 3" xfId="922" xr:uid="{00000000-0005-0000-0000-000005050000}"/>
    <cellStyle name="RISKdarkBoxed 3 10" xfId="2979" xr:uid="{636B217D-BC1E-413D-A8DE-C66F6C18E46A}"/>
    <cellStyle name="RISKdarkBoxed 3 10 2" xfId="6347" xr:uid="{3589EA3A-FBD6-4C05-9BF7-478624DF879D}"/>
    <cellStyle name="RISKdarkBoxed 3 10 3" xfId="9533" xr:uid="{FEE4CC15-8F73-441E-AC8F-0DD87C25D15E}"/>
    <cellStyle name="RISKdarkBoxed 3 11" xfId="3191" xr:uid="{6B92ECFE-179A-4413-A6C0-527967E5DC1D}"/>
    <cellStyle name="RISKdarkBoxed 3 11 2" xfId="6610" xr:uid="{C5DB9395-5C21-4DEB-B363-B5E2F13172F6}"/>
    <cellStyle name="RISKdarkBoxed 3 11 3" xfId="9775" xr:uid="{8BB98F62-DC66-4F84-9D2E-8B87E7B3CEAD}"/>
    <cellStyle name="RISKdarkBoxed 3 12" xfId="6872" xr:uid="{727CA504-0E15-462C-A45B-5E4AB508E828}"/>
    <cellStyle name="RISKdarkBoxed 3 12 2" xfId="10017" xr:uid="{58BBBFD3-0C36-4631-A79E-3A8AE9002E7D}"/>
    <cellStyle name="RISKdarkBoxed 3 13" xfId="7151" xr:uid="{9D2723D0-C482-4319-AB00-E237E1910F63}"/>
    <cellStyle name="RISKdarkBoxed 3 13 2" xfId="10290" xr:uid="{5EF50C97-A837-4CAE-82F8-9D4C7C915E33}"/>
    <cellStyle name="RISKdarkBoxed 3 14" xfId="7464" xr:uid="{51925DD3-1463-4A7C-8EAB-EE4516604F43}"/>
    <cellStyle name="RISKdarkBoxed 3 14 2" xfId="10599" xr:uid="{29F0AFAD-9E1F-4CF5-B85D-CE1E84C3B016}"/>
    <cellStyle name="RISKdarkBoxed 3 15" xfId="7304" xr:uid="{0918155A-324A-4B5C-9DF3-008A25B1E48D}"/>
    <cellStyle name="RISKdarkBoxed 3 15 2" xfId="10442" xr:uid="{A83DA747-AE22-4628-AEA4-512C073C32CF}"/>
    <cellStyle name="RISKdarkBoxed 3 16" xfId="4492" xr:uid="{EA5FC937-7834-4035-AD95-FC4E151DD201}"/>
    <cellStyle name="RISKdarkBoxed 3 17" xfId="4334" xr:uid="{082FC576-4B88-4FB3-92DA-FC6468B26308}"/>
    <cellStyle name="RISKdarkBoxed 3 18" xfId="10999" xr:uid="{C1C0DF86-2434-4316-BF93-4320FDC67CDA}"/>
    <cellStyle name="RISKdarkBoxed 3 19" xfId="11412" xr:uid="{5C369C22-38E3-4B00-AE23-F6A589C50901}"/>
    <cellStyle name="RISKdarkBoxed 3 2" xfId="923" xr:uid="{00000000-0005-0000-0000-000006050000}"/>
    <cellStyle name="RISKdarkBoxed 3 2 10" xfId="3192" xr:uid="{5479E481-A2B0-449D-AA68-BD21BE22D32B}"/>
    <cellStyle name="RISKdarkBoxed 3 2 10 2" xfId="6611" xr:uid="{6B0F3579-4F4E-42E3-AFE2-CD95F0079556}"/>
    <cellStyle name="RISKdarkBoxed 3 2 10 3" xfId="9776" xr:uid="{36EA38E0-3608-4D2E-8337-4A79895D72FB}"/>
    <cellStyle name="RISKdarkBoxed 3 2 11" xfId="6873" xr:uid="{A4088C15-9270-4D82-9754-BCDBB8A4D6D8}"/>
    <cellStyle name="RISKdarkBoxed 3 2 11 2" xfId="10018" xr:uid="{019A685A-831A-4B88-88D3-4F667BD2AFD0}"/>
    <cellStyle name="RISKdarkBoxed 3 2 12" xfId="7152" xr:uid="{64AF347E-0D5B-4CF5-ABAA-0879D70954BB}"/>
    <cellStyle name="RISKdarkBoxed 3 2 12 2" xfId="10291" xr:uid="{7393EDCE-0B6F-4850-B88E-5706DF092840}"/>
    <cellStyle name="RISKdarkBoxed 3 2 13" xfId="7465" xr:uid="{3190584C-C7D2-4CF3-A5DB-A8965EA2B143}"/>
    <cellStyle name="RISKdarkBoxed 3 2 13 2" xfId="10600" xr:uid="{CBE716F3-C51B-412E-8771-61F428752BC7}"/>
    <cellStyle name="RISKdarkBoxed 3 2 14" xfId="7303" xr:uid="{17421226-D10E-4235-8702-A78863D5AAF4}"/>
    <cellStyle name="RISKdarkBoxed 3 2 14 2" xfId="10441" xr:uid="{D972A725-4784-4F89-9E94-E196AFCBB94D}"/>
    <cellStyle name="RISKdarkBoxed 3 2 15" xfId="4493" xr:uid="{18D4BA1A-3D92-4E6C-8F8A-15BB9FA5BF8B}"/>
    <cellStyle name="RISKdarkBoxed 3 2 16" xfId="4333" xr:uid="{839555C9-60B8-4C16-9862-4AF408230A3E}"/>
    <cellStyle name="RISKdarkBoxed 3 2 17" xfId="11000" xr:uid="{EFC683DB-8949-48A6-8ECE-0D39EFE62B1A}"/>
    <cellStyle name="RISKdarkBoxed 3 2 18" xfId="11413" xr:uid="{CF31CE29-FDAB-40A4-B200-CF15C32FA48E}"/>
    <cellStyle name="RISKdarkBoxed 3 2 19" xfId="11180" xr:uid="{E4795C4C-EEF8-4700-8524-4CFDE2BBCC39}"/>
    <cellStyle name="RISKdarkBoxed 3 2 2" xfId="1313" xr:uid="{00000000-0005-0000-0000-000007050000}"/>
    <cellStyle name="RISKdarkBoxed 3 2 2 2" xfId="3424" xr:uid="{E045B7FC-E3C0-4815-9DFE-290873F72A6F}"/>
    <cellStyle name="RISKdarkBoxed 3 2 2 3" xfId="4730" xr:uid="{B83681CE-54FD-4DB3-80A0-244ADDFEE586}"/>
    <cellStyle name="RISKdarkBoxed 3 2 2 4" xfId="7940" xr:uid="{3DB19B4B-481E-42F3-98E8-1DEDDA38B40B}"/>
    <cellStyle name="RISKdarkBoxed 3 2 20" xfId="11889" xr:uid="{DAB937C5-5EAB-4F08-B62B-985FB127496A}"/>
    <cellStyle name="RISKdarkBoxed 3 2 21" xfId="12095" xr:uid="{7C296A75-526C-4327-A825-1A0C580BD49A}"/>
    <cellStyle name="RISKdarkBoxed 3 2 22" xfId="12572" xr:uid="{8A79238B-F263-478D-8858-39235B0CA92B}"/>
    <cellStyle name="RISKdarkBoxed 3 2 23" xfId="12299" xr:uid="{6FC51265-0772-48D3-A08E-80C9A0D8CECB}"/>
    <cellStyle name="RISKdarkBoxed 3 2 24" xfId="12709" xr:uid="{9138BC49-319B-4F41-8777-2882534E93A4}"/>
    <cellStyle name="RISKdarkBoxed 3 2 25" xfId="13210" xr:uid="{DDCC61E9-844A-4F35-B5CC-3F1B060D885D}"/>
    <cellStyle name="RISKdarkBoxed 3 2 26" xfId="13049" xr:uid="{E016EA14-F3C4-4A6A-B707-FBE9A0B41EBD}"/>
    <cellStyle name="RISKdarkBoxed 3 2 3" xfId="1517" xr:uid="{00000000-0005-0000-0000-000008050000}"/>
    <cellStyle name="RISKdarkBoxed 3 2 3 2" xfId="3618" xr:uid="{48F52B45-80BB-4D31-B652-DF8D5E1CE2D4}"/>
    <cellStyle name="RISKdarkBoxed 3 2 3 3" xfId="4926" xr:uid="{474813AF-C5DA-43BB-A355-1073B814F7C2}"/>
    <cellStyle name="RISKdarkBoxed 3 2 3 4" xfId="8133" xr:uid="{AE70D9C3-904A-4390-8200-7A5C390F5414}"/>
    <cellStyle name="RISKdarkBoxed 3 2 4" xfId="1774" xr:uid="{00000000-0005-0000-0000-000009050000}"/>
    <cellStyle name="RISKdarkBoxed 3 2 4 2" xfId="3874" xr:uid="{AD0A6EBB-AE0F-4B90-A217-26881F03D316}"/>
    <cellStyle name="RISKdarkBoxed 3 2 4 3" xfId="5178" xr:uid="{CD76B0F7-BA5F-480D-8501-ADF4822A61FB}"/>
    <cellStyle name="RISKdarkBoxed 3 2 4 4" xfId="8372" xr:uid="{D45832F2-07FB-4272-BCB8-65FC98B2C11F}"/>
    <cellStyle name="RISKdarkBoxed 3 2 5" xfId="2028" xr:uid="{00000000-0005-0000-0000-00000A050000}"/>
    <cellStyle name="RISKdarkBoxed 3 2 5 2" xfId="4118" xr:uid="{AFA47A04-441A-40FF-A700-4F22C06F224D}"/>
    <cellStyle name="RISKdarkBoxed 3 2 5 3" xfId="5416" xr:uid="{D897E741-9904-410B-9037-EBEF424447E4}"/>
    <cellStyle name="RISKdarkBoxed 3 2 5 4" xfId="8608" xr:uid="{0D52E1F2-B3F3-4EA7-869A-1B68EDD17145}"/>
    <cellStyle name="RISKdarkBoxed 3 2 6" xfId="2270" xr:uid="{FCEE7889-3D3D-4ACE-8313-AC0489DAE07C}"/>
    <cellStyle name="RISKdarkBoxed 3 2 6 2" xfId="5652" xr:uid="{B24F468D-0D42-438E-B18A-2B6D6882809C}"/>
    <cellStyle name="RISKdarkBoxed 3 2 6 3" xfId="8844" xr:uid="{1BCD7466-62DD-42AD-8363-0B73DA7BCCBD}"/>
    <cellStyle name="RISKdarkBoxed 3 2 7" xfId="2506" xr:uid="{0A953048-51D3-4CDA-BEEF-B1C7A5FE09AD}"/>
    <cellStyle name="RISKdarkBoxed 3 2 7 2" xfId="5882" xr:uid="{A9B59512-FE9C-46C0-BC5E-DF0D757E6B1C}"/>
    <cellStyle name="RISKdarkBoxed 3 2 7 3" xfId="9074" xr:uid="{02D843E6-2CF5-41E6-BE6F-B5CB8008F198}"/>
    <cellStyle name="RISKdarkBoxed 3 2 8" xfId="2745" xr:uid="{F75D6E87-1242-4872-9D2E-645BB9B79980}"/>
    <cellStyle name="RISKdarkBoxed 3 2 8 2" xfId="6115" xr:uid="{9BCD200D-A9C0-48C8-B9B1-D330B25DF1C4}"/>
    <cellStyle name="RISKdarkBoxed 3 2 8 3" xfId="9304" xr:uid="{66F1910C-E009-4F92-BDEE-72710DD932E7}"/>
    <cellStyle name="RISKdarkBoxed 3 2 9" xfId="2980" xr:uid="{7241E6EB-7612-472E-8688-33210541A875}"/>
    <cellStyle name="RISKdarkBoxed 3 2 9 2" xfId="6348" xr:uid="{691BB3DF-66D8-4D02-9686-FD90A97AB696}"/>
    <cellStyle name="RISKdarkBoxed 3 2 9 3" xfId="9534" xr:uid="{51B8EC2B-0EDC-49F7-AB08-50A58A7D9BEA}"/>
    <cellStyle name="RISKdarkBoxed 3 20" xfId="11181" xr:uid="{CFAD512D-5790-4B47-8BBE-B9F922C79414}"/>
    <cellStyle name="RISKdarkBoxed 3 21" xfId="11888" xr:uid="{9D872FCC-3B88-43CA-9331-CD5B5FA7ADB2}"/>
    <cellStyle name="RISKdarkBoxed 3 22" xfId="12094" xr:uid="{35D3DE38-27AB-4509-8A1B-C3E3FA35EC4A}"/>
    <cellStyle name="RISKdarkBoxed 3 23" xfId="12571" xr:uid="{2AB7238B-3B00-439E-B552-ECC5878D978F}"/>
    <cellStyle name="RISKdarkBoxed 3 24" xfId="12300" xr:uid="{A9218CFF-5731-4372-A412-B5DE6D99D722}"/>
    <cellStyle name="RISKdarkBoxed 3 25" xfId="12708" xr:uid="{4D9923A5-5FEB-4CB8-9F97-69D0BEAC2BE2}"/>
    <cellStyle name="RISKdarkBoxed 3 26" xfId="13209" xr:uid="{6B559B35-B9C8-44B4-AD3D-4A77E4F8A08A}"/>
    <cellStyle name="RISKdarkBoxed 3 27" xfId="13050" xr:uid="{1B7A3DA9-58EE-450E-906E-D76D8B88CAC2}"/>
    <cellStyle name="RISKdarkBoxed 3 3" xfId="1312" xr:uid="{00000000-0005-0000-0000-00000B050000}"/>
    <cellStyle name="RISKdarkBoxed 3 3 2" xfId="3423" xr:uid="{F82E04B4-9C28-4F23-9F27-9182AF6DA274}"/>
    <cellStyle name="RISKdarkBoxed 3 3 3" xfId="4729" xr:uid="{605F94C9-55BD-41D8-A82D-B59575D69417}"/>
    <cellStyle name="RISKdarkBoxed 3 3 4" xfId="7939" xr:uid="{29CD094D-6CF3-43F3-914F-05ACF73A2956}"/>
    <cellStyle name="RISKdarkBoxed 3 4" xfId="1516" xr:uid="{00000000-0005-0000-0000-00000C050000}"/>
    <cellStyle name="RISKdarkBoxed 3 4 2" xfId="3617" xr:uid="{75C778C9-F025-452C-9CB2-CA9CAD6DBF42}"/>
    <cellStyle name="RISKdarkBoxed 3 4 3" xfId="4925" xr:uid="{0E889C80-9DDB-4536-B216-A25D9820E64D}"/>
    <cellStyle name="RISKdarkBoxed 3 4 4" xfId="8132" xr:uid="{CC788C8F-2999-49C3-967C-BAA97FABA978}"/>
    <cellStyle name="RISKdarkBoxed 3 5" xfId="1773" xr:uid="{00000000-0005-0000-0000-00000D050000}"/>
    <cellStyle name="RISKdarkBoxed 3 5 2" xfId="3873" xr:uid="{BC7B9C47-8BFC-49F0-A337-6406D184B2EE}"/>
    <cellStyle name="RISKdarkBoxed 3 5 3" xfId="5177" xr:uid="{0978D5AC-E315-4FFB-9DDF-7123017AA2D8}"/>
    <cellStyle name="RISKdarkBoxed 3 5 4" xfId="8371" xr:uid="{006CD552-ED3C-4464-9D90-D105F0D44742}"/>
    <cellStyle name="RISKdarkBoxed 3 6" xfId="2027" xr:uid="{00000000-0005-0000-0000-00000E050000}"/>
    <cellStyle name="RISKdarkBoxed 3 6 2" xfId="4117" xr:uid="{1EC547B3-627D-4DAF-9DBC-244DE15A3FC5}"/>
    <cellStyle name="RISKdarkBoxed 3 6 3" xfId="5415" xr:uid="{BD594529-E44B-487A-8274-77F42C8A00DF}"/>
    <cellStyle name="RISKdarkBoxed 3 6 4" xfId="8607" xr:uid="{EF242F2A-DCAE-4C9A-A489-41B9559633E4}"/>
    <cellStyle name="RISKdarkBoxed 3 7" xfId="2269" xr:uid="{9EB85244-CEF9-49BF-A712-682030AEACA0}"/>
    <cellStyle name="RISKdarkBoxed 3 7 2" xfId="5651" xr:uid="{7F66676F-FA50-40B3-8BB6-7A6E92EFC858}"/>
    <cellStyle name="RISKdarkBoxed 3 7 3" xfId="8843" xr:uid="{031ECFA4-51C7-48FD-AB4D-E935D5CF5E0A}"/>
    <cellStyle name="RISKdarkBoxed 3 8" xfId="2505" xr:uid="{287DEF61-E92E-46C8-9736-8486BBA05C8A}"/>
    <cellStyle name="RISKdarkBoxed 3 8 2" xfId="5881" xr:uid="{70012182-0941-4D59-9A0D-07C484ED4BDA}"/>
    <cellStyle name="RISKdarkBoxed 3 8 3" xfId="9073" xr:uid="{09A139BC-9681-465B-9B1E-C1E720D0E267}"/>
    <cellStyle name="RISKdarkBoxed 3 9" xfId="2744" xr:uid="{CA60974B-8EEA-41A2-A59F-122146F81C8D}"/>
    <cellStyle name="RISKdarkBoxed 3 9 2" xfId="6114" xr:uid="{B16A2F60-B937-4E1D-B8CF-356E0B68CCCF}"/>
    <cellStyle name="RISKdarkBoxed 3 9 3" xfId="9303" xr:uid="{485BA298-0F2E-40AC-A594-CABC5702CF7C}"/>
    <cellStyle name="RISKdarkBoxed 30" xfId="12302" xr:uid="{55218C80-3AC2-4251-BFB6-B889022546A8}"/>
    <cellStyle name="RISKdarkBoxed 31" xfId="12705" xr:uid="{40E663C9-3EF5-42BC-A24D-5B2DF0F86895}"/>
    <cellStyle name="RISKdarkBoxed 32" xfId="13206" xr:uid="{EC6CC915-2448-4344-A859-674BAA061813}"/>
    <cellStyle name="RISKdarkBoxed 33" xfId="13053" xr:uid="{6BB466D1-3D7F-46DE-81D1-1F7BB93A6702}"/>
    <cellStyle name="RISKdarkBoxed 4" xfId="924" xr:uid="{00000000-0005-0000-0000-00000F050000}"/>
    <cellStyle name="RISKdarkBoxed 4 10" xfId="2981" xr:uid="{3AB74FF3-5A67-48F3-A904-D4FBDBA9E545}"/>
    <cellStyle name="RISKdarkBoxed 4 10 2" xfId="6349" xr:uid="{E52047E0-0706-4BD7-BD0C-0E518DB51EA6}"/>
    <cellStyle name="RISKdarkBoxed 4 10 3" xfId="9535" xr:uid="{FE896740-6D9C-4DB6-9FFB-68C6FBF0B9B1}"/>
    <cellStyle name="RISKdarkBoxed 4 11" xfId="3193" xr:uid="{2CDAF7F0-2041-4B8A-837A-2531928A7763}"/>
    <cellStyle name="RISKdarkBoxed 4 11 2" xfId="6612" xr:uid="{60212F6E-A74A-4FFA-BF4B-80F391DD55EB}"/>
    <cellStyle name="RISKdarkBoxed 4 11 3" xfId="9777" xr:uid="{07D5296A-600B-4DDD-9C8A-3E6B2D8AFA13}"/>
    <cellStyle name="RISKdarkBoxed 4 12" xfId="6874" xr:uid="{E3D55677-E9DA-4CF0-8085-CA825DB45B25}"/>
    <cellStyle name="RISKdarkBoxed 4 12 2" xfId="10019" xr:uid="{D75024B5-07A8-491F-A904-69C97341454B}"/>
    <cellStyle name="RISKdarkBoxed 4 13" xfId="7153" xr:uid="{D8ED6312-44D0-4E35-B351-C4DA886C52F3}"/>
    <cellStyle name="RISKdarkBoxed 4 13 2" xfId="10292" xr:uid="{D297F956-CC0B-49CE-9BB3-D2787104AE64}"/>
    <cellStyle name="RISKdarkBoxed 4 14" xfId="7466" xr:uid="{C03D671B-86B8-43CB-BFCF-37A0126E3420}"/>
    <cellStyle name="RISKdarkBoxed 4 14 2" xfId="10601" xr:uid="{914A20BF-BFE3-44E9-A742-61F5714AE68D}"/>
    <cellStyle name="RISKdarkBoxed 4 15" xfId="7302" xr:uid="{4B76FF43-2E68-4BD5-8B16-394B53E232CA}"/>
    <cellStyle name="RISKdarkBoxed 4 15 2" xfId="10440" xr:uid="{C6A1AFD8-5C06-4C98-9BEE-C7FC753063F5}"/>
    <cellStyle name="RISKdarkBoxed 4 16" xfId="4494" xr:uid="{7CB8EDF9-C1CA-4751-87FA-2A11E3FF4ABE}"/>
    <cellStyle name="RISKdarkBoxed 4 17" xfId="4332" xr:uid="{2D8A87F7-E7BD-4AB7-A653-FC80D2143877}"/>
    <cellStyle name="RISKdarkBoxed 4 18" xfId="11001" xr:uid="{873424AA-123C-4B6E-A7AE-33737A982A64}"/>
    <cellStyle name="RISKdarkBoxed 4 19" xfId="11414" xr:uid="{2CC5A788-C643-41ED-9044-55918A91D9C9}"/>
    <cellStyle name="RISKdarkBoxed 4 2" xfId="925" xr:uid="{00000000-0005-0000-0000-000010050000}"/>
    <cellStyle name="RISKdarkBoxed 4 2 10" xfId="3194" xr:uid="{8AAD3E65-561D-4CD4-A361-954A254F7783}"/>
    <cellStyle name="RISKdarkBoxed 4 2 10 2" xfId="6613" xr:uid="{F70B3F61-506C-40F7-AF97-458D1F2899DC}"/>
    <cellStyle name="RISKdarkBoxed 4 2 10 3" xfId="9778" xr:uid="{5E7285CD-132B-4C69-BBCB-290B459C4F51}"/>
    <cellStyle name="RISKdarkBoxed 4 2 11" xfId="6875" xr:uid="{742BC97F-FA53-4038-849F-0FBBEB072E9D}"/>
    <cellStyle name="RISKdarkBoxed 4 2 11 2" xfId="10020" xr:uid="{7E918170-7EA7-424F-98CC-EBE836582119}"/>
    <cellStyle name="RISKdarkBoxed 4 2 12" xfId="7154" xr:uid="{57F90B70-5A28-45A2-8984-CBFB61F689AA}"/>
    <cellStyle name="RISKdarkBoxed 4 2 12 2" xfId="10293" xr:uid="{068F14F7-84C4-4A39-B543-14C5FD7CFBAC}"/>
    <cellStyle name="RISKdarkBoxed 4 2 13" xfId="7467" xr:uid="{7D00986C-6F50-41D3-8A73-C1A52AEF6615}"/>
    <cellStyle name="RISKdarkBoxed 4 2 13 2" xfId="10602" xr:uid="{840F2691-B35C-4A6A-A11A-D7FA83AF97FD}"/>
    <cellStyle name="RISKdarkBoxed 4 2 14" xfId="7301" xr:uid="{FE4D9350-A2BD-4A37-8ED8-B0248F48C7F2}"/>
    <cellStyle name="RISKdarkBoxed 4 2 14 2" xfId="10439" xr:uid="{78D24A18-F525-43DC-ABD9-BD6AC086FB62}"/>
    <cellStyle name="RISKdarkBoxed 4 2 15" xfId="4495" xr:uid="{F53C9599-1A8B-4FDC-AB46-09372FFD07A8}"/>
    <cellStyle name="RISKdarkBoxed 4 2 16" xfId="4331" xr:uid="{A0AF1535-33DD-4EAE-899A-96CDE866F169}"/>
    <cellStyle name="RISKdarkBoxed 4 2 17" xfId="11002" xr:uid="{72E904DA-CCA2-45D4-99EA-AF484AEBD4FB}"/>
    <cellStyle name="RISKdarkBoxed 4 2 18" xfId="11415" xr:uid="{AF598CA9-439B-4487-9BA4-DAB06449638D}"/>
    <cellStyle name="RISKdarkBoxed 4 2 19" xfId="11178" xr:uid="{31ABB343-3A15-4A48-9C8C-56A8BEDF55E1}"/>
    <cellStyle name="RISKdarkBoxed 4 2 2" xfId="1315" xr:uid="{00000000-0005-0000-0000-000011050000}"/>
    <cellStyle name="RISKdarkBoxed 4 2 2 2" xfId="3426" xr:uid="{50AF56EB-4B75-4C14-8DC9-F18DE6EFE904}"/>
    <cellStyle name="RISKdarkBoxed 4 2 2 3" xfId="4732" xr:uid="{1E9A7988-A109-40B3-BCBF-BBD90E063CE4}"/>
    <cellStyle name="RISKdarkBoxed 4 2 2 4" xfId="7942" xr:uid="{AF2BFE64-F785-49F2-BA3B-A4B8698808D7}"/>
    <cellStyle name="RISKdarkBoxed 4 2 20" xfId="11891" xr:uid="{6BEB9E28-5A14-4FC9-8242-2C2969D66E30}"/>
    <cellStyle name="RISKdarkBoxed 4 2 21" xfId="12097" xr:uid="{A3E368B1-191A-4326-8547-725C3F8DA104}"/>
    <cellStyle name="RISKdarkBoxed 4 2 22" xfId="12574" xr:uid="{2F4D57EA-9588-44B9-B118-EA5E0927664C}"/>
    <cellStyle name="RISKdarkBoxed 4 2 23" xfId="12297" xr:uid="{E297E675-B0E7-4235-B912-5AEA09F72B45}"/>
    <cellStyle name="RISKdarkBoxed 4 2 24" xfId="12711" xr:uid="{B56EB160-D100-4CD7-AE6D-F33B0FB644DF}"/>
    <cellStyle name="RISKdarkBoxed 4 2 25" xfId="13212" xr:uid="{F55935AF-AAED-4322-AE53-0283373A4F98}"/>
    <cellStyle name="RISKdarkBoxed 4 2 26" xfId="13047" xr:uid="{D3FEA134-3CD5-4522-AEF6-881E83440073}"/>
    <cellStyle name="RISKdarkBoxed 4 2 3" xfId="1519" xr:uid="{00000000-0005-0000-0000-000012050000}"/>
    <cellStyle name="RISKdarkBoxed 4 2 3 2" xfId="3620" xr:uid="{505F1D25-C149-450F-9262-9E8AE004B8A8}"/>
    <cellStyle name="RISKdarkBoxed 4 2 3 3" xfId="4928" xr:uid="{875E4C38-B3C5-4FF1-B13E-E540FBE6D4CB}"/>
    <cellStyle name="RISKdarkBoxed 4 2 3 4" xfId="8135" xr:uid="{D76DD51E-1D8D-4589-9516-F3CFAAB9ACA4}"/>
    <cellStyle name="RISKdarkBoxed 4 2 4" xfId="1776" xr:uid="{00000000-0005-0000-0000-000013050000}"/>
    <cellStyle name="RISKdarkBoxed 4 2 4 2" xfId="3876" xr:uid="{41920A04-58C2-40A2-9CE2-23377C26C08F}"/>
    <cellStyle name="RISKdarkBoxed 4 2 4 3" xfId="5180" xr:uid="{ED6711E8-5E91-4A13-83C4-40BB7339293D}"/>
    <cellStyle name="RISKdarkBoxed 4 2 4 4" xfId="8374" xr:uid="{8591AE6F-8827-4F6B-BAA9-52B9126FFF89}"/>
    <cellStyle name="RISKdarkBoxed 4 2 5" xfId="2030" xr:uid="{00000000-0005-0000-0000-000014050000}"/>
    <cellStyle name="RISKdarkBoxed 4 2 5 2" xfId="4120" xr:uid="{D7D26BAC-BE06-4B7C-9293-C686A23C0D81}"/>
    <cellStyle name="RISKdarkBoxed 4 2 5 3" xfId="5418" xr:uid="{1BF61471-3DB5-438B-89E3-247DE375E088}"/>
    <cellStyle name="RISKdarkBoxed 4 2 5 4" xfId="8610" xr:uid="{BF494C6C-0693-44CC-BBEF-63F31D7934BF}"/>
    <cellStyle name="RISKdarkBoxed 4 2 6" xfId="2272" xr:uid="{B8F02800-177C-4C02-9869-84DB40A20008}"/>
    <cellStyle name="RISKdarkBoxed 4 2 6 2" xfId="5654" xr:uid="{6FA1B702-3889-4B32-974E-7B6041457DD9}"/>
    <cellStyle name="RISKdarkBoxed 4 2 6 3" xfId="8846" xr:uid="{015A0ECE-039F-4AA5-81FD-CC7F1BC9344E}"/>
    <cellStyle name="RISKdarkBoxed 4 2 7" xfId="2508" xr:uid="{1971EE27-13D2-4F9C-BCD1-8AF3C80D38B2}"/>
    <cellStyle name="RISKdarkBoxed 4 2 7 2" xfId="5884" xr:uid="{E1BFC9F0-0B42-402B-B975-4F435832871D}"/>
    <cellStyle name="RISKdarkBoxed 4 2 7 3" xfId="9076" xr:uid="{69A44B66-2957-4EA2-AC25-59817ABE2589}"/>
    <cellStyle name="RISKdarkBoxed 4 2 8" xfId="2747" xr:uid="{5E598E69-644C-4854-9BD3-541098A88FA5}"/>
    <cellStyle name="RISKdarkBoxed 4 2 8 2" xfId="6117" xr:uid="{779933A6-0E5B-4A66-A1A8-767509357A4A}"/>
    <cellStyle name="RISKdarkBoxed 4 2 8 3" xfId="9306" xr:uid="{AAE8D653-B35A-4573-B93C-99D2E3998A0A}"/>
    <cellStyle name="RISKdarkBoxed 4 2 9" xfId="2982" xr:uid="{B30DF166-F302-4D9E-9193-D7F9F87F5A68}"/>
    <cellStyle name="RISKdarkBoxed 4 2 9 2" xfId="6350" xr:uid="{BE6B1D02-5ABA-4326-B57C-B5ED3CAB0118}"/>
    <cellStyle name="RISKdarkBoxed 4 2 9 3" xfId="9536" xr:uid="{D29FB215-EB40-486B-899D-40DE76946200}"/>
    <cellStyle name="RISKdarkBoxed 4 20" xfId="11179" xr:uid="{320DA7A7-01BF-487B-BB87-BEB382B5D6F6}"/>
    <cellStyle name="RISKdarkBoxed 4 21" xfId="11890" xr:uid="{FD00D96A-353B-4771-AA8D-CB430DEC0E72}"/>
    <cellStyle name="RISKdarkBoxed 4 22" xfId="12096" xr:uid="{9710F0CE-D045-4556-B393-9BAD1332E110}"/>
    <cellStyle name="RISKdarkBoxed 4 23" xfId="12573" xr:uid="{810A0584-84AE-4A27-AD68-A20E56A9FB60}"/>
    <cellStyle name="RISKdarkBoxed 4 24" xfId="12298" xr:uid="{21DF3938-2200-418D-A823-9C7126C7D86D}"/>
    <cellStyle name="RISKdarkBoxed 4 25" xfId="12710" xr:uid="{0A9A6FA6-8183-40B9-B876-3F1970E20C5C}"/>
    <cellStyle name="RISKdarkBoxed 4 26" xfId="13211" xr:uid="{391C9788-476C-4744-9DC5-51BE7E54668C}"/>
    <cellStyle name="RISKdarkBoxed 4 27" xfId="13048" xr:uid="{B5E08098-6D88-42D1-9759-280253D37318}"/>
    <cellStyle name="RISKdarkBoxed 4 3" xfId="1314" xr:uid="{00000000-0005-0000-0000-000015050000}"/>
    <cellStyle name="RISKdarkBoxed 4 3 2" xfId="3425" xr:uid="{17C1E82F-1668-4502-B25D-18EBE228D871}"/>
    <cellStyle name="RISKdarkBoxed 4 3 3" xfId="4731" xr:uid="{EF0F97BB-8454-418B-BF7D-714EBFE52C31}"/>
    <cellStyle name="RISKdarkBoxed 4 3 4" xfId="7941" xr:uid="{8516708E-9DE9-4B64-80BF-7027BB3F9E19}"/>
    <cellStyle name="RISKdarkBoxed 4 4" xfId="1518" xr:uid="{00000000-0005-0000-0000-000016050000}"/>
    <cellStyle name="RISKdarkBoxed 4 4 2" xfId="3619" xr:uid="{3EB7B15A-A5CA-464A-9FBB-B2E030EA9A33}"/>
    <cellStyle name="RISKdarkBoxed 4 4 3" xfId="4927" xr:uid="{9D30909C-6350-4CAE-B835-02591601878C}"/>
    <cellStyle name="RISKdarkBoxed 4 4 4" xfId="8134" xr:uid="{8EA16CC2-1C9D-43C0-A547-7F54C2DDC96C}"/>
    <cellStyle name="RISKdarkBoxed 4 5" xfId="1775" xr:uid="{00000000-0005-0000-0000-000017050000}"/>
    <cellStyle name="RISKdarkBoxed 4 5 2" xfId="3875" xr:uid="{78D65D23-FBD5-4B39-AC8C-A4CBCF31E497}"/>
    <cellStyle name="RISKdarkBoxed 4 5 3" xfId="5179" xr:uid="{7AF11F60-50A1-4628-82ED-A72E5E2DE47E}"/>
    <cellStyle name="RISKdarkBoxed 4 5 4" xfId="8373" xr:uid="{B109CB60-EC4B-412A-9F7E-390D7AA179DA}"/>
    <cellStyle name="RISKdarkBoxed 4 6" xfId="2029" xr:uid="{00000000-0005-0000-0000-000018050000}"/>
    <cellStyle name="RISKdarkBoxed 4 6 2" xfId="4119" xr:uid="{CE989726-2EB7-49ED-9AEF-B8F3307DA7D3}"/>
    <cellStyle name="RISKdarkBoxed 4 6 3" xfId="5417" xr:uid="{DD1F3A99-490B-4609-A6F2-18A179D78AEA}"/>
    <cellStyle name="RISKdarkBoxed 4 6 4" xfId="8609" xr:uid="{FC73D7C5-DECD-40C2-A828-89800CFB8FD3}"/>
    <cellStyle name="RISKdarkBoxed 4 7" xfId="2271" xr:uid="{F4E26789-C6E3-4C18-B8E6-B917A0C67388}"/>
    <cellStyle name="RISKdarkBoxed 4 7 2" xfId="5653" xr:uid="{8EA310E6-42F9-46F8-8C72-A44D7148724B}"/>
    <cellStyle name="RISKdarkBoxed 4 7 3" xfId="8845" xr:uid="{ADE107DC-85BD-4368-B22A-B613ADF10E84}"/>
    <cellStyle name="RISKdarkBoxed 4 8" xfId="2507" xr:uid="{121E5946-B379-44C9-8A3C-B1204C0C1FF2}"/>
    <cellStyle name="RISKdarkBoxed 4 8 2" xfId="5883" xr:uid="{57FB3851-F64D-473A-B038-496AAF0708EB}"/>
    <cellStyle name="RISKdarkBoxed 4 8 3" xfId="9075" xr:uid="{4FE24855-867B-4532-BBF4-D2DAE33A3FED}"/>
    <cellStyle name="RISKdarkBoxed 4 9" xfId="2746" xr:uid="{987BD217-2B7D-45A2-B9F5-FDB95A787E81}"/>
    <cellStyle name="RISKdarkBoxed 4 9 2" xfId="6116" xr:uid="{F6E1349C-10C2-4121-B105-4F01C37D7FB8}"/>
    <cellStyle name="RISKdarkBoxed 4 9 3" xfId="9305" xr:uid="{0D13219F-C34F-4415-A3D1-1B1A042E5074}"/>
    <cellStyle name="RISKdarkBoxed 5" xfId="926" xr:uid="{00000000-0005-0000-0000-000019050000}"/>
    <cellStyle name="RISKdarkBoxed 5 10" xfId="2983" xr:uid="{ED32829E-631E-4CCD-A4CD-35B4940C159D}"/>
    <cellStyle name="RISKdarkBoxed 5 10 2" xfId="6351" xr:uid="{408F3688-1C8B-48FF-9FE9-F9D6C4315B6E}"/>
    <cellStyle name="RISKdarkBoxed 5 10 3" xfId="9537" xr:uid="{3CAD3C6E-CA65-4C1B-A436-6D912E7D1B7E}"/>
    <cellStyle name="RISKdarkBoxed 5 11" xfId="3195" xr:uid="{A379909E-FCAD-405B-BC26-0B62CF225677}"/>
    <cellStyle name="RISKdarkBoxed 5 11 2" xfId="6614" xr:uid="{79CB0F38-E87B-4AF4-A23E-725D6BCDFDBE}"/>
    <cellStyle name="RISKdarkBoxed 5 11 3" xfId="9779" xr:uid="{2B071A71-D483-41EA-86E4-3FD3E0479F73}"/>
    <cellStyle name="RISKdarkBoxed 5 12" xfId="6876" xr:uid="{5562CD77-66DA-4982-83A3-A7D17AD65BD2}"/>
    <cellStyle name="RISKdarkBoxed 5 12 2" xfId="10021" xr:uid="{CEE1E865-49BE-4A80-8A96-BEAA9ACB2AC0}"/>
    <cellStyle name="RISKdarkBoxed 5 13" xfId="7155" xr:uid="{290E51AE-E631-4F3F-A028-B2BAA5DDBFB6}"/>
    <cellStyle name="RISKdarkBoxed 5 13 2" xfId="10294" xr:uid="{EBEE7F9C-AAC4-41F7-9973-5CD26E91AF17}"/>
    <cellStyle name="RISKdarkBoxed 5 14" xfId="7468" xr:uid="{7A510365-D73A-4343-B41E-8C5251A4582E}"/>
    <cellStyle name="RISKdarkBoxed 5 14 2" xfId="10603" xr:uid="{112E4DEB-FD46-4D34-A0AC-FCD447804B71}"/>
    <cellStyle name="RISKdarkBoxed 5 15" xfId="7300" xr:uid="{CF58A218-DA33-4DDE-9EA7-3C933DA81256}"/>
    <cellStyle name="RISKdarkBoxed 5 15 2" xfId="10438" xr:uid="{6DF28D03-62D3-4A2E-9874-B3DB81BC4066}"/>
    <cellStyle name="RISKdarkBoxed 5 16" xfId="4496" xr:uid="{34EDD473-03E9-4516-A4D5-8770899AABF3}"/>
    <cellStyle name="RISKdarkBoxed 5 17" xfId="4330" xr:uid="{BB03683B-8433-4E5C-A4F8-7215CAE346DB}"/>
    <cellStyle name="RISKdarkBoxed 5 18" xfId="11003" xr:uid="{AC7B0BD5-B00B-49EB-ACF5-E9314891B54A}"/>
    <cellStyle name="RISKdarkBoxed 5 19" xfId="11416" xr:uid="{EC1184FF-8E14-44B0-8A3C-958AA934F618}"/>
    <cellStyle name="RISKdarkBoxed 5 2" xfId="927" xr:uid="{00000000-0005-0000-0000-00001A050000}"/>
    <cellStyle name="RISKdarkBoxed 5 2 10" xfId="3196" xr:uid="{0EE65629-9A56-4285-8A57-412E0D2F7098}"/>
    <cellStyle name="RISKdarkBoxed 5 2 10 2" xfId="6615" xr:uid="{834DC77D-6B49-4486-9A81-995EBF620BDC}"/>
    <cellStyle name="RISKdarkBoxed 5 2 10 3" xfId="9780" xr:uid="{7452FAC5-8E6E-4E59-AE28-ECB6BE3979FA}"/>
    <cellStyle name="RISKdarkBoxed 5 2 11" xfId="6877" xr:uid="{B405AAC7-F8FE-490F-B3E7-2C528A281706}"/>
    <cellStyle name="RISKdarkBoxed 5 2 11 2" xfId="10022" xr:uid="{27108438-2508-4350-9E61-632F5EF83B34}"/>
    <cellStyle name="RISKdarkBoxed 5 2 12" xfId="7156" xr:uid="{89039503-2A90-4810-9C6F-923ED32F114C}"/>
    <cellStyle name="RISKdarkBoxed 5 2 12 2" xfId="10295" xr:uid="{7C916117-7B9E-4252-9AE1-793CF7921239}"/>
    <cellStyle name="RISKdarkBoxed 5 2 13" xfId="7469" xr:uid="{F01292C1-0610-4096-9288-79FE204B696D}"/>
    <cellStyle name="RISKdarkBoxed 5 2 13 2" xfId="10604" xr:uid="{05B9172F-FDEC-403B-9A0F-420F6D1ADC56}"/>
    <cellStyle name="RISKdarkBoxed 5 2 14" xfId="7299" xr:uid="{E3556422-5EB3-4E44-8A4A-DF84F1D7C7FE}"/>
    <cellStyle name="RISKdarkBoxed 5 2 14 2" xfId="10437" xr:uid="{36B70F93-6A9A-44F5-97DE-C70E7E683430}"/>
    <cellStyle name="RISKdarkBoxed 5 2 15" xfId="4497" xr:uid="{F3494F45-76E5-4554-A43C-6B6D77346835}"/>
    <cellStyle name="RISKdarkBoxed 5 2 16" xfId="4329" xr:uid="{17C9FCFC-E821-49B6-89EC-E117EF7F3AE3}"/>
    <cellStyle name="RISKdarkBoxed 5 2 17" xfId="11004" xr:uid="{4C786B48-DD6D-4B53-8CD1-8F799E710FAB}"/>
    <cellStyle name="RISKdarkBoxed 5 2 18" xfId="11417" xr:uid="{C0BC9900-49C3-47DB-9AB1-16698FCE0771}"/>
    <cellStyle name="RISKdarkBoxed 5 2 19" xfId="11176" xr:uid="{724639F7-B4D4-48BC-80F9-EE252335A503}"/>
    <cellStyle name="RISKdarkBoxed 5 2 2" xfId="1317" xr:uid="{00000000-0005-0000-0000-00001B050000}"/>
    <cellStyle name="RISKdarkBoxed 5 2 2 2" xfId="3428" xr:uid="{3674CE50-AF2F-4024-BE35-81A9C0DD23AC}"/>
    <cellStyle name="RISKdarkBoxed 5 2 2 3" xfId="4734" xr:uid="{CA5AE6BB-1A95-4A5D-827A-6432D77E936C}"/>
    <cellStyle name="RISKdarkBoxed 5 2 2 4" xfId="7944" xr:uid="{F16952E6-6DA1-479B-A76F-E607E5333F34}"/>
    <cellStyle name="RISKdarkBoxed 5 2 20" xfId="11893" xr:uid="{87C7D9DE-B35D-432A-B850-24D7521DCFC8}"/>
    <cellStyle name="RISKdarkBoxed 5 2 21" xfId="12099" xr:uid="{F8E44EAA-2CFE-40FE-A2F4-04F48BFCEEAE}"/>
    <cellStyle name="RISKdarkBoxed 5 2 22" xfId="12576" xr:uid="{013ABC3E-2528-4487-91D7-470416F2C5AB}"/>
    <cellStyle name="RISKdarkBoxed 5 2 23" xfId="12295" xr:uid="{E4FDD1BA-1128-45D0-A363-5EB086E08445}"/>
    <cellStyle name="RISKdarkBoxed 5 2 24" xfId="12713" xr:uid="{B46E3137-83AA-4E1D-AEE8-224924886777}"/>
    <cellStyle name="RISKdarkBoxed 5 2 25" xfId="13214" xr:uid="{514333E7-7104-4E57-A59E-7ABCCA19FA41}"/>
    <cellStyle name="RISKdarkBoxed 5 2 26" xfId="13045" xr:uid="{D4636AC1-7E17-4ACB-9724-EE8795AF8D09}"/>
    <cellStyle name="RISKdarkBoxed 5 2 3" xfId="1521" xr:uid="{00000000-0005-0000-0000-00001C050000}"/>
    <cellStyle name="RISKdarkBoxed 5 2 3 2" xfId="3622" xr:uid="{22DBFC9D-F76A-4353-A3A7-DD2B89F7C037}"/>
    <cellStyle name="RISKdarkBoxed 5 2 3 3" xfId="4930" xr:uid="{148C76E6-373D-4E46-9BAF-CB66EDB2B57E}"/>
    <cellStyle name="RISKdarkBoxed 5 2 3 4" xfId="8137" xr:uid="{D953DF34-8A8B-479A-A2B1-B15642AF586F}"/>
    <cellStyle name="RISKdarkBoxed 5 2 4" xfId="1778" xr:uid="{00000000-0005-0000-0000-00001D050000}"/>
    <cellStyle name="RISKdarkBoxed 5 2 4 2" xfId="3878" xr:uid="{7E71C18C-25B8-4C5B-A525-81CB40199BCA}"/>
    <cellStyle name="RISKdarkBoxed 5 2 4 3" xfId="5182" xr:uid="{9426C59D-8342-473D-ABEF-E3F333D1AE2B}"/>
    <cellStyle name="RISKdarkBoxed 5 2 4 4" xfId="8376" xr:uid="{C769E0F8-FB89-49F7-A8AD-2686D82A4140}"/>
    <cellStyle name="RISKdarkBoxed 5 2 5" xfId="2032" xr:uid="{00000000-0005-0000-0000-00001E050000}"/>
    <cellStyle name="RISKdarkBoxed 5 2 5 2" xfId="4122" xr:uid="{7980AB5E-A777-480A-8C20-CAB6C5C070C7}"/>
    <cellStyle name="RISKdarkBoxed 5 2 5 3" xfId="5420" xr:uid="{D0EB0474-4A81-4A2E-B4AA-21573CF429C1}"/>
    <cellStyle name="RISKdarkBoxed 5 2 5 4" xfId="8612" xr:uid="{4906ED9B-6B29-463D-B7F8-F10C66BF3EF8}"/>
    <cellStyle name="RISKdarkBoxed 5 2 6" xfId="2274" xr:uid="{DBF55456-9417-43E6-90E3-BE93EDEE99C5}"/>
    <cellStyle name="RISKdarkBoxed 5 2 6 2" xfId="5656" xr:uid="{8646E477-2903-4B13-98D6-CDF93BD67FF5}"/>
    <cellStyle name="RISKdarkBoxed 5 2 6 3" xfId="8848" xr:uid="{8CF19C7A-902E-4D29-B67B-972C616C5150}"/>
    <cellStyle name="RISKdarkBoxed 5 2 7" xfId="2510" xr:uid="{E025A494-0004-42AA-BD7E-7070C43005CF}"/>
    <cellStyle name="RISKdarkBoxed 5 2 7 2" xfId="5886" xr:uid="{BF76840C-1DED-498A-A4C8-8E2D7088E78D}"/>
    <cellStyle name="RISKdarkBoxed 5 2 7 3" xfId="9078" xr:uid="{D7137044-9300-4296-9A66-BD0B9A4CC832}"/>
    <cellStyle name="RISKdarkBoxed 5 2 8" xfId="2749" xr:uid="{91BE7EB4-B5F4-4F28-BCC0-49DDA1333BA7}"/>
    <cellStyle name="RISKdarkBoxed 5 2 8 2" xfId="6119" xr:uid="{1BD0CF0A-41E7-4E3F-9AAB-951EA7BE9CED}"/>
    <cellStyle name="RISKdarkBoxed 5 2 8 3" xfId="9308" xr:uid="{7551C1F3-0D8B-4475-B26F-054A8AE7120A}"/>
    <cellStyle name="RISKdarkBoxed 5 2 9" xfId="2984" xr:uid="{B1BBB92E-F37A-4B59-AA7F-EE0B8CAC3D09}"/>
    <cellStyle name="RISKdarkBoxed 5 2 9 2" xfId="6352" xr:uid="{9617B6B2-636D-4C1A-8D3F-792B3FA1A614}"/>
    <cellStyle name="RISKdarkBoxed 5 2 9 3" xfId="9538" xr:uid="{9F11D911-C2A5-4376-A0A4-D515A204F37A}"/>
    <cellStyle name="RISKdarkBoxed 5 20" xfId="11177" xr:uid="{11757A01-991D-41F6-B57A-D2CA8DDD0952}"/>
    <cellStyle name="RISKdarkBoxed 5 21" xfId="11892" xr:uid="{56DF443D-09E0-4D83-9B44-36051BA05DC1}"/>
    <cellStyle name="RISKdarkBoxed 5 22" xfId="12098" xr:uid="{D64620AE-59EB-4F41-89CB-44F6C711D93F}"/>
    <cellStyle name="RISKdarkBoxed 5 23" xfId="12575" xr:uid="{9A33A047-B604-4E45-8AC6-0F25BF0393ED}"/>
    <cellStyle name="RISKdarkBoxed 5 24" xfId="12296" xr:uid="{4D58BD4D-0FD2-4FF5-B7B4-34B0EE037579}"/>
    <cellStyle name="RISKdarkBoxed 5 25" xfId="12712" xr:uid="{FD70A669-00A7-4AAA-BE84-A71F80975209}"/>
    <cellStyle name="RISKdarkBoxed 5 26" xfId="13213" xr:uid="{CA9D9E07-6BDB-4E18-AD8F-412D9A44A753}"/>
    <cellStyle name="RISKdarkBoxed 5 27" xfId="13046" xr:uid="{26FEADAA-CCF9-4914-AFEB-573223017322}"/>
    <cellStyle name="RISKdarkBoxed 5 3" xfId="1316" xr:uid="{00000000-0005-0000-0000-00001F050000}"/>
    <cellStyle name="RISKdarkBoxed 5 3 2" xfId="3427" xr:uid="{79DEAE03-F848-4B72-A222-ADAA8EC6523B}"/>
    <cellStyle name="RISKdarkBoxed 5 3 3" xfId="4733" xr:uid="{54EF4F42-28B5-4BA8-8625-7A9A58E22321}"/>
    <cellStyle name="RISKdarkBoxed 5 3 4" xfId="7943" xr:uid="{8F325C60-33F5-4957-B9FB-93C343CFEC53}"/>
    <cellStyle name="RISKdarkBoxed 5 4" xfId="1520" xr:uid="{00000000-0005-0000-0000-000020050000}"/>
    <cellStyle name="RISKdarkBoxed 5 4 2" xfId="3621" xr:uid="{5CAACEE4-9D12-4D66-85A4-E0424B101515}"/>
    <cellStyle name="RISKdarkBoxed 5 4 3" xfId="4929" xr:uid="{91A63CB0-CD02-42A0-BD09-96AE519FDBEB}"/>
    <cellStyle name="RISKdarkBoxed 5 4 4" xfId="8136" xr:uid="{60852203-3069-4D46-B429-BD7708BE1DC2}"/>
    <cellStyle name="RISKdarkBoxed 5 5" xfId="1777" xr:uid="{00000000-0005-0000-0000-000021050000}"/>
    <cellStyle name="RISKdarkBoxed 5 5 2" xfId="3877" xr:uid="{861B51FD-F3DE-4A2D-A6EF-44902939E930}"/>
    <cellStyle name="RISKdarkBoxed 5 5 3" xfId="5181" xr:uid="{E5373ED0-B508-4AE4-AD13-22B14DF216AC}"/>
    <cellStyle name="RISKdarkBoxed 5 5 4" xfId="8375" xr:uid="{671A5086-C35B-4824-87BA-20BDF414265F}"/>
    <cellStyle name="RISKdarkBoxed 5 6" xfId="2031" xr:uid="{00000000-0005-0000-0000-000022050000}"/>
    <cellStyle name="RISKdarkBoxed 5 6 2" xfId="4121" xr:uid="{47695588-286F-435C-8D2D-C581AC34D753}"/>
    <cellStyle name="RISKdarkBoxed 5 6 3" xfId="5419" xr:uid="{C55E2AE2-0908-4BFD-8883-7AD49A2C93EB}"/>
    <cellStyle name="RISKdarkBoxed 5 6 4" xfId="8611" xr:uid="{CB11A1C1-F905-4208-8E4F-92C01BC1080C}"/>
    <cellStyle name="RISKdarkBoxed 5 7" xfId="2273" xr:uid="{DA4E147E-1507-47B8-986E-2359857C82F1}"/>
    <cellStyle name="RISKdarkBoxed 5 7 2" xfId="5655" xr:uid="{57404911-10B9-4FBD-80AE-F66B3E542823}"/>
    <cellStyle name="RISKdarkBoxed 5 7 3" xfId="8847" xr:uid="{5DEDC53D-7999-4729-A50B-8278BA870082}"/>
    <cellStyle name="RISKdarkBoxed 5 8" xfId="2509" xr:uid="{D6BDFB6C-09F4-4A74-8B72-AFC8918ACFAC}"/>
    <cellStyle name="RISKdarkBoxed 5 8 2" xfId="5885" xr:uid="{72642F58-F715-4FE1-B707-E40F2B523134}"/>
    <cellStyle name="RISKdarkBoxed 5 8 3" xfId="9077" xr:uid="{45E16C30-4105-403A-B911-357A297460ED}"/>
    <cellStyle name="RISKdarkBoxed 5 9" xfId="2748" xr:uid="{A04131BC-61EA-4AF4-9C99-21AF54696753}"/>
    <cellStyle name="RISKdarkBoxed 5 9 2" xfId="6118" xr:uid="{0D3F7A71-2526-44E0-AF70-78EA8C2C6BF0}"/>
    <cellStyle name="RISKdarkBoxed 5 9 3" xfId="9307" xr:uid="{5E92DB10-0F7A-45ED-B11B-C34896665DE3}"/>
    <cellStyle name="RISKdarkBoxed 6" xfId="928" xr:uid="{00000000-0005-0000-0000-000023050000}"/>
    <cellStyle name="RISKdarkBoxed 6 10" xfId="2985" xr:uid="{29B83F3D-4F7F-432C-9BE6-F738F9751514}"/>
    <cellStyle name="RISKdarkBoxed 6 10 2" xfId="6353" xr:uid="{2760F46C-141F-4235-80E9-77F9C9A8C9BB}"/>
    <cellStyle name="RISKdarkBoxed 6 10 3" xfId="9539" xr:uid="{2FD60837-A9ED-4FDC-A10C-8DBA061BEA25}"/>
    <cellStyle name="RISKdarkBoxed 6 11" xfId="3197" xr:uid="{F1F815DE-06E8-43C9-971C-7E985CF4FAE9}"/>
    <cellStyle name="RISKdarkBoxed 6 11 2" xfId="6616" xr:uid="{648D8F61-22CC-4289-8805-0103B8E3CCA8}"/>
    <cellStyle name="RISKdarkBoxed 6 11 3" xfId="9781" xr:uid="{DADDCE54-BAF5-486A-A0F2-A23141B9FBA3}"/>
    <cellStyle name="RISKdarkBoxed 6 12" xfId="6878" xr:uid="{4C03876B-1EFC-480C-BBF8-935A48F830AD}"/>
    <cellStyle name="RISKdarkBoxed 6 12 2" xfId="10023" xr:uid="{776A9790-1E14-48D3-BA80-29CA988AB78F}"/>
    <cellStyle name="RISKdarkBoxed 6 13" xfId="7157" xr:uid="{AC47852B-E3BB-430F-AD67-2A518A01676F}"/>
    <cellStyle name="RISKdarkBoxed 6 13 2" xfId="10296" xr:uid="{3D78CBA4-2A10-46FB-A910-A33220116449}"/>
    <cellStyle name="RISKdarkBoxed 6 14" xfId="7470" xr:uid="{F2B13C2C-70FD-418A-AF6F-82E3004E87BB}"/>
    <cellStyle name="RISKdarkBoxed 6 14 2" xfId="10605" xr:uid="{3D88E4AC-CD45-4AA1-9E6A-24E310A0B116}"/>
    <cellStyle name="RISKdarkBoxed 6 15" xfId="7298" xr:uid="{23BFBC0E-4708-4092-B3E0-23A9E61529D4}"/>
    <cellStyle name="RISKdarkBoxed 6 15 2" xfId="10436" xr:uid="{CAD1217B-E247-4E80-8E70-8F91605E7A97}"/>
    <cellStyle name="RISKdarkBoxed 6 16" xfId="4498" xr:uid="{4858DEE7-5739-447E-B104-20D138C8B396}"/>
    <cellStyle name="RISKdarkBoxed 6 17" xfId="4328" xr:uid="{3F9E216B-B76D-4851-A1F5-06E717AD7D08}"/>
    <cellStyle name="RISKdarkBoxed 6 18" xfId="11005" xr:uid="{5C8E2CC9-568B-41E5-9773-61AEBC53EC5F}"/>
    <cellStyle name="RISKdarkBoxed 6 19" xfId="11418" xr:uid="{6532EAD5-7D9A-4E79-A9EC-A9390C9419AC}"/>
    <cellStyle name="RISKdarkBoxed 6 2" xfId="929" xr:uid="{00000000-0005-0000-0000-000024050000}"/>
    <cellStyle name="RISKdarkBoxed 6 2 10" xfId="3198" xr:uid="{F5D2BC09-5D48-4C79-95CB-B890DA910819}"/>
    <cellStyle name="RISKdarkBoxed 6 2 10 2" xfId="6617" xr:uid="{039CD69A-42BA-40BD-8C1C-ED6978AD135E}"/>
    <cellStyle name="RISKdarkBoxed 6 2 10 3" xfId="9782" xr:uid="{65A9FDFE-4B74-444D-9B16-D9F0C74AE3BC}"/>
    <cellStyle name="RISKdarkBoxed 6 2 11" xfId="6879" xr:uid="{804203AA-A5E0-48AB-9BA8-217B102DCA44}"/>
    <cellStyle name="RISKdarkBoxed 6 2 11 2" xfId="10024" xr:uid="{816F017E-2259-4B40-B6E4-583DADBAF741}"/>
    <cellStyle name="RISKdarkBoxed 6 2 12" xfId="7158" xr:uid="{DA1948AD-852A-4711-9270-838C7C408798}"/>
    <cellStyle name="RISKdarkBoxed 6 2 12 2" xfId="10297" xr:uid="{9F4C1478-7B8D-4765-A058-A5C2BAF7B872}"/>
    <cellStyle name="RISKdarkBoxed 6 2 13" xfId="7471" xr:uid="{206080E0-983A-4675-9BDA-A5E86AEDE31E}"/>
    <cellStyle name="RISKdarkBoxed 6 2 13 2" xfId="10606" xr:uid="{53AF33C8-B32D-46B0-8AE6-640635A9F64F}"/>
    <cellStyle name="RISKdarkBoxed 6 2 14" xfId="7297" xr:uid="{27030312-1C3D-4F45-B92B-3A2DD2597F90}"/>
    <cellStyle name="RISKdarkBoxed 6 2 14 2" xfId="10435" xr:uid="{48AD5E48-542E-46D3-B444-0448BDD15E0B}"/>
    <cellStyle name="RISKdarkBoxed 6 2 15" xfId="4499" xr:uid="{6E6E33A7-875F-4CD0-BE00-34F82C0A6AE1}"/>
    <cellStyle name="RISKdarkBoxed 6 2 16" xfId="4327" xr:uid="{6D1BC08F-053F-4339-91FB-4CD0A1ECB794}"/>
    <cellStyle name="RISKdarkBoxed 6 2 17" xfId="11006" xr:uid="{4DB0C0ED-E7C8-4F87-923C-1D1718465E60}"/>
    <cellStyle name="RISKdarkBoxed 6 2 18" xfId="11419" xr:uid="{2023463A-90D7-4A4B-97B4-F3A098590379}"/>
    <cellStyle name="RISKdarkBoxed 6 2 19" xfId="11174" xr:uid="{0EE00AE1-849D-49F8-B32B-8EB8D296FFC6}"/>
    <cellStyle name="RISKdarkBoxed 6 2 2" xfId="1319" xr:uid="{00000000-0005-0000-0000-000025050000}"/>
    <cellStyle name="RISKdarkBoxed 6 2 2 2" xfId="3430" xr:uid="{925BF2F8-0D7B-4755-83A7-DC9E110AA607}"/>
    <cellStyle name="RISKdarkBoxed 6 2 2 3" xfId="4736" xr:uid="{DCF459FD-226E-4B27-86EF-8F3891E5179A}"/>
    <cellStyle name="RISKdarkBoxed 6 2 2 4" xfId="7946" xr:uid="{CD1BC196-4CB6-40EE-80FA-70CC74FF19C1}"/>
    <cellStyle name="RISKdarkBoxed 6 2 20" xfId="11895" xr:uid="{CA615D1F-F642-41F1-ADCF-77A407EB4A0E}"/>
    <cellStyle name="RISKdarkBoxed 6 2 21" xfId="12101" xr:uid="{3AE42D07-4B91-4C2E-A8E1-D8363D910F50}"/>
    <cellStyle name="RISKdarkBoxed 6 2 22" xfId="12578" xr:uid="{89241818-C596-4383-8987-781878EAE155}"/>
    <cellStyle name="RISKdarkBoxed 6 2 23" xfId="12293" xr:uid="{89B6E86F-16A5-484D-8F32-D319A0C05C35}"/>
    <cellStyle name="RISKdarkBoxed 6 2 24" xfId="12715" xr:uid="{DE2259C6-DD23-4912-BFA6-038B3623008A}"/>
    <cellStyle name="RISKdarkBoxed 6 2 25" xfId="13216" xr:uid="{39168054-A1EA-4E49-9D28-103383B9757B}"/>
    <cellStyle name="RISKdarkBoxed 6 2 26" xfId="13043" xr:uid="{1A68B165-F823-4FB5-8A10-EB164A1158C7}"/>
    <cellStyle name="RISKdarkBoxed 6 2 3" xfId="1523" xr:uid="{00000000-0005-0000-0000-000026050000}"/>
    <cellStyle name="RISKdarkBoxed 6 2 3 2" xfId="3624" xr:uid="{E323F445-0233-499B-8C0B-15FF93476151}"/>
    <cellStyle name="RISKdarkBoxed 6 2 3 3" xfId="4932" xr:uid="{17A97CF1-0EA9-4CE7-944A-962F0B96F52B}"/>
    <cellStyle name="RISKdarkBoxed 6 2 3 4" xfId="8139" xr:uid="{AFC9F9D1-1E94-4844-9985-C10EE5DADA85}"/>
    <cellStyle name="RISKdarkBoxed 6 2 4" xfId="1780" xr:uid="{00000000-0005-0000-0000-000027050000}"/>
    <cellStyle name="RISKdarkBoxed 6 2 4 2" xfId="3880" xr:uid="{39366DFF-4F76-4046-8D9A-BAA0BA2131A7}"/>
    <cellStyle name="RISKdarkBoxed 6 2 4 3" xfId="5184" xr:uid="{0EFCFEFB-3C2A-418A-90E7-D49505FF1BDF}"/>
    <cellStyle name="RISKdarkBoxed 6 2 4 4" xfId="8378" xr:uid="{3F9F030E-4D9B-4427-AE45-CCC1B31A8E01}"/>
    <cellStyle name="RISKdarkBoxed 6 2 5" xfId="2034" xr:uid="{00000000-0005-0000-0000-000028050000}"/>
    <cellStyle name="RISKdarkBoxed 6 2 5 2" xfId="4124" xr:uid="{FE097451-0658-4592-B6DD-1F0609F68057}"/>
    <cellStyle name="RISKdarkBoxed 6 2 5 3" xfId="5422" xr:uid="{21F0719A-A69C-4CEB-B75F-1E7339C40587}"/>
    <cellStyle name="RISKdarkBoxed 6 2 5 4" xfId="8614" xr:uid="{E054BC0D-0E49-46EA-AA90-FE2467C237B9}"/>
    <cellStyle name="RISKdarkBoxed 6 2 6" xfId="2276" xr:uid="{69BD7C22-0460-442B-BFB9-B45CE95BECE8}"/>
    <cellStyle name="RISKdarkBoxed 6 2 6 2" xfId="5658" xr:uid="{2233B6B9-3370-42E8-A2FD-561A4773F12D}"/>
    <cellStyle name="RISKdarkBoxed 6 2 6 3" xfId="8850" xr:uid="{B6FC9143-A35B-4C08-8F30-876B538847F6}"/>
    <cellStyle name="RISKdarkBoxed 6 2 7" xfId="2512" xr:uid="{96C70973-090C-460D-8619-33616BB5580C}"/>
    <cellStyle name="RISKdarkBoxed 6 2 7 2" xfId="5888" xr:uid="{258011EB-9A4F-4862-9212-27D22B634A5E}"/>
    <cellStyle name="RISKdarkBoxed 6 2 7 3" xfId="9080" xr:uid="{BC5E1B7B-7BB6-47CF-8EDC-281CF779F228}"/>
    <cellStyle name="RISKdarkBoxed 6 2 8" xfId="2751" xr:uid="{C03D4A31-4DCA-4C4B-A634-70D4D6D56694}"/>
    <cellStyle name="RISKdarkBoxed 6 2 8 2" xfId="6121" xr:uid="{D1D8E220-1BB3-4B2C-B337-2BDA30FDCA6E}"/>
    <cellStyle name="RISKdarkBoxed 6 2 8 3" xfId="9310" xr:uid="{96874F12-388F-4676-91AD-5FF67F7E564C}"/>
    <cellStyle name="RISKdarkBoxed 6 2 9" xfId="2986" xr:uid="{E283915E-841F-4321-9CB3-254715EFC6D7}"/>
    <cellStyle name="RISKdarkBoxed 6 2 9 2" xfId="6354" xr:uid="{F6C28463-4C18-4DA4-A451-D90EB56C7F08}"/>
    <cellStyle name="RISKdarkBoxed 6 2 9 3" xfId="9540" xr:uid="{38AF221B-E9DC-4E0C-AA8B-51877EA6E741}"/>
    <cellStyle name="RISKdarkBoxed 6 20" xfId="11175" xr:uid="{E033B537-EDFC-4AD7-8F99-E8C39A1FAA43}"/>
    <cellStyle name="RISKdarkBoxed 6 21" xfId="11894" xr:uid="{809E1503-B11A-408F-88B8-96E2215899FC}"/>
    <cellStyle name="RISKdarkBoxed 6 22" xfId="12100" xr:uid="{68FDF09C-9660-4613-B9F2-9C764DFC30C5}"/>
    <cellStyle name="RISKdarkBoxed 6 23" xfId="12577" xr:uid="{19F3BBA4-D827-44EA-889E-6514C6105721}"/>
    <cellStyle name="RISKdarkBoxed 6 24" xfId="12294" xr:uid="{66547541-99E7-4A2C-8CA6-B45466968E6B}"/>
    <cellStyle name="RISKdarkBoxed 6 25" xfId="12714" xr:uid="{8CA75648-156E-4D51-AD22-22607E428456}"/>
    <cellStyle name="RISKdarkBoxed 6 26" xfId="13215" xr:uid="{72580DB6-6BC1-454B-9459-504A2D07B3AA}"/>
    <cellStyle name="RISKdarkBoxed 6 27" xfId="13044" xr:uid="{1D11D49E-9BEF-457E-98B9-1AA205CE5AF6}"/>
    <cellStyle name="RISKdarkBoxed 6 3" xfId="1318" xr:uid="{00000000-0005-0000-0000-000029050000}"/>
    <cellStyle name="RISKdarkBoxed 6 3 2" xfId="3429" xr:uid="{48C72D4A-D4C8-4CE7-ABBA-355AC311573D}"/>
    <cellStyle name="RISKdarkBoxed 6 3 3" xfId="4735" xr:uid="{5DBE5C61-B170-4891-BEBC-FE7332B55E41}"/>
    <cellStyle name="RISKdarkBoxed 6 3 4" xfId="7945" xr:uid="{2A759477-9072-4DB0-83F3-5BFA62412E1C}"/>
    <cellStyle name="RISKdarkBoxed 6 4" xfId="1522" xr:uid="{00000000-0005-0000-0000-00002A050000}"/>
    <cellStyle name="RISKdarkBoxed 6 4 2" xfId="3623" xr:uid="{047AFA54-1298-41DE-B558-E426A9A324D6}"/>
    <cellStyle name="RISKdarkBoxed 6 4 3" xfId="4931" xr:uid="{4C85C05A-FED9-43FC-9198-84B4DB54E6E2}"/>
    <cellStyle name="RISKdarkBoxed 6 4 4" xfId="8138" xr:uid="{EBC668E4-B94A-4E67-94EE-D71C14D616F7}"/>
    <cellStyle name="RISKdarkBoxed 6 5" xfId="1779" xr:uid="{00000000-0005-0000-0000-00002B050000}"/>
    <cellStyle name="RISKdarkBoxed 6 5 2" xfId="3879" xr:uid="{4408D203-A541-4B74-BEC2-29C021CAB343}"/>
    <cellStyle name="RISKdarkBoxed 6 5 3" xfId="5183" xr:uid="{44F95B9C-20EE-47DD-AD3A-8DA07CB24A49}"/>
    <cellStyle name="RISKdarkBoxed 6 5 4" xfId="8377" xr:uid="{B90A8FE4-F3D2-45C3-A61B-C203D59A3E33}"/>
    <cellStyle name="RISKdarkBoxed 6 6" xfId="2033" xr:uid="{00000000-0005-0000-0000-00002C050000}"/>
    <cellStyle name="RISKdarkBoxed 6 6 2" xfId="4123" xr:uid="{619E56E5-08A6-471C-AC39-9C4006524D04}"/>
    <cellStyle name="RISKdarkBoxed 6 6 3" xfId="5421" xr:uid="{AC3E89B1-46E5-4DD6-A1DD-F1035CD6C288}"/>
    <cellStyle name="RISKdarkBoxed 6 6 4" xfId="8613" xr:uid="{9D76E86C-5A4B-4768-A531-65ED939CEDFC}"/>
    <cellStyle name="RISKdarkBoxed 6 7" xfId="2275" xr:uid="{5C1709AF-3EB0-4A4C-84CB-4104CD4AD5EB}"/>
    <cellStyle name="RISKdarkBoxed 6 7 2" xfId="5657" xr:uid="{BFB705D7-C3B9-48AC-992A-93E8D31307FD}"/>
    <cellStyle name="RISKdarkBoxed 6 7 3" xfId="8849" xr:uid="{553C498C-0EDC-4DCC-8B64-DF7CAD6C212C}"/>
    <cellStyle name="RISKdarkBoxed 6 8" xfId="2511" xr:uid="{681B9758-D1FC-46F4-8B58-4F1BDDF738D1}"/>
    <cellStyle name="RISKdarkBoxed 6 8 2" xfId="5887" xr:uid="{D46C9D49-B1EF-47EF-8421-441A6B7E642D}"/>
    <cellStyle name="RISKdarkBoxed 6 8 3" xfId="9079" xr:uid="{B24C6A4A-39D3-45CA-B0FB-799A3D2F2A1E}"/>
    <cellStyle name="RISKdarkBoxed 6 9" xfId="2750" xr:uid="{01CFFD43-80A2-4BC3-9E31-CED5320462ED}"/>
    <cellStyle name="RISKdarkBoxed 6 9 2" xfId="6120" xr:uid="{684BE90C-2836-4EBD-9C09-67802950F6DA}"/>
    <cellStyle name="RISKdarkBoxed 6 9 3" xfId="9309" xr:uid="{2B10ECF0-D472-4571-BB10-EE2EDCDB406A}"/>
    <cellStyle name="RISKdarkBoxed 7" xfId="930" xr:uid="{00000000-0005-0000-0000-00002D050000}"/>
    <cellStyle name="RISKdarkBoxed 7 10" xfId="2752" xr:uid="{AAE36716-928C-4CDB-93E7-3D07BF31E4F4}"/>
    <cellStyle name="RISKdarkBoxed 7 10 2" xfId="6122" xr:uid="{F2BBC4DF-56CE-44F7-B43B-DBEA8F457BFB}"/>
    <cellStyle name="RISKdarkBoxed 7 10 3" xfId="9311" xr:uid="{0BF6C18F-6FB2-480E-BB97-6501884B192E}"/>
    <cellStyle name="RISKdarkBoxed 7 11" xfId="2987" xr:uid="{01BC57CD-60CD-43B6-A295-C16F44AAC176}"/>
    <cellStyle name="RISKdarkBoxed 7 11 2" xfId="6355" xr:uid="{668316AF-1865-42C9-A735-12EAC63E960C}"/>
    <cellStyle name="RISKdarkBoxed 7 11 3" xfId="9541" xr:uid="{65FABCF8-3EEE-4139-9CCF-7A6FE03EB8F0}"/>
    <cellStyle name="RISKdarkBoxed 7 12" xfId="3199" xr:uid="{BE0C58EA-6014-4F88-A195-9762D9BEC674}"/>
    <cellStyle name="RISKdarkBoxed 7 12 2" xfId="6618" xr:uid="{CB6334CE-3BDE-43AB-BE2C-E9211DA913B7}"/>
    <cellStyle name="RISKdarkBoxed 7 12 3" xfId="9783" xr:uid="{7E83938F-FDE1-4AB2-9594-BD9A74549285}"/>
    <cellStyle name="RISKdarkBoxed 7 13" xfId="6880" xr:uid="{9D7D67B9-94CC-493A-A92A-A82F066DA62B}"/>
    <cellStyle name="RISKdarkBoxed 7 13 2" xfId="10025" xr:uid="{7C5BCBFC-81E5-4669-9AA9-96D7E2489581}"/>
    <cellStyle name="RISKdarkBoxed 7 14" xfId="7159" xr:uid="{D40DDBAD-F4E5-465C-88C7-5D0FFCDB3A11}"/>
    <cellStyle name="RISKdarkBoxed 7 14 2" xfId="10298" xr:uid="{4BF83397-3A2B-4686-B566-060AB6D2DD89}"/>
    <cellStyle name="RISKdarkBoxed 7 15" xfId="7472" xr:uid="{3F78CA74-6EA6-4B63-ACEB-B1ED895602A3}"/>
    <cellStyle name="RISKdarkBoxed 7 15 2" xfId="10607" xr:uid="{C55AF413-2F0F-41E5-B781-246952F71614}"/>
    <cellStyle name="RISKdarkBoxed 7 16" xfId="7296" xr:uid="{769DC7B1-B4A9-4C1A-B626-C981806433DF}"/>
    <cellStyle name="RISKdarkBoxed 7 16 2" xfId="10434" xr:uid="{31ABAEFE-B73B-4741-8302-CE73954C8A9D}"/>
    <cellStyle name="RISKdarkBoxed 7 17" xfId="4500" xr:uid="{01AD64B1-05A7-45E6-BB95-E7781509E9C7}"/>
    <cellStyle name="RISKdarkBoxed 7 18" xfId="4326" xr:uid="{D7C8AEE6-79AF-43F7-B5AE-686DC93F1BFA}"/>
    <cellStyle name="RISKdarkBoxed 7 19" xfId="11007" xr:uid="{7820B22F-9E3A-474C-BBBA-B3A82CDA8845}"/>
    <cellStyle name="RISKdarkBoxed 7 2" xfId="931" xr:uid="{00000000-0005-0000-0000-00002E050000}"/>
    <cellStyle name="RISKdarkBoxed 7 2 10" xfId="3200" xr:uid="{FD2181B3-2D30-4A9D-A5D1-1FC38E9045CF}"/>
    <cellStyle name="RISKdarkBoxed 7 2 10 2" xfId="6619" xr:uid="{D4470772-94D1-4253-8EAB-EA71A1B5F19E}"/>
    <cellStyle name="RISKdarkBoxed 7 2 10 3" xfId="9784" xr:uid="{F8B50C24-778B-4A5E-84BF-790121C194A9}"/>
    <cellStyle name="RISKdarkBoxed 7 2 11" xfId="6881" xr:uid="{E2B1CA62-9B07-4DA8-9C80-764567330F24}"/>
    <cellStyle name="RISKdarkBoxed 7 2 11 2" xfId="10026" xr:uid="{2EE20CFF-3B9D-41FA-9B4C-A81CD55B4F09}"/>
    <cellStyle name="RISKdarkBoxed 7 2 12" xfId="7160" xr:uid="{8F5BF8C7-0F31-4409-BCDA-7ADBA584DF8D}"/>
    <cellStyle name="RISKdarkBoxed 7 2 12 2" xfId="10299" xr:uid="{4D994C1F-6441-4D39-8B33-36D8FE9F95A9}"/>
    <cellStyle name="RISKdarkBoxed 7 2 13" xfId="7473" xr:uid="{36F3E61F-6F4A-4946-A685-55A71C3A3BE5}"/>
    <cellStyle name="RISKdarkBoxed 7 2 13 2" xfId="10608" xr:uid="{50DC84BC-59AA-4F19-8B48-7E1BCD55551B}"/>
    <cellStyle name="RISKdarkBoxed 7 2 14" xfId="7295" xr:uid="{02C35C76-CAF2-43BF-8A5C-6EB9277EB5E2}"/>
    <cellStyle name="RISKdarkBoxed 7 2 14 2" xfId="10433" xr:uid="{E5626F5F-CFC0-4BFD-8F8E-6D72E2D78418}"/>
    <cellStyle name="RISKdarkBoxed 7 2 15" xfId="4501" xr:uid="{6A3099E8-F0AE-4CC6-A7AF-43D19CC7DEC3}"/>
    <cellStyle name="RISKdarkBoxed 7 2 16" xfId="4325" xr:uid="{8A200B24-5C21-43A8-8AA1-11940E55E2C4}"/>
    <cellStyle name="RISKdarkBoxed 7 2 17" xfId="11008" xr:uid="{7B072F02-B584-4D02-99B4-47EF341412A6}"/>
    <cellStyle name="RISKdarkBoxed 7 2 18" xfId="11421" xr:uid="{35FCE9DB-4234-432C-A98F-11C6D6784C9E}"/>
    <cellStyle name="RISKdarkBoxed 7 2 19" xfId="11172" xr:uid="{400F7605-98A2-4AEA-9F9F-042677D503E7}"/>
    <cellStyle name="RISKdarkBoxed 7 2 2" xfId="1321" xr:uid="{00000000-0005-0000-0000-00002F050000}"/>
    <cellStyle name="RISKdarkBoxed 7 2 2 2" xfId="3432" xr:uid="{79BB86B9-5039-404B-AAD1-8FC973B9ADFE}"/>
    <cellStyle name="RISKdarkBoxed 7 2 2 3" xfId="4738" xr:uid="{F30087EE-E448-4F74-89E2-83BD83E3F1AA}"/>
    <cellStyle name="RISKdarkBoxed 7 2 2 4" xfId="7948" xr:uid="{E6FA3C94-0C02-481B-A031-EC4E578846D6}"/>
    <cellStyle name="RISKdarkBoxed 7 2 20" xfId="11897" xr:uid="{73FDB8D9-E889-4203-A84B-2871ED7F681A}"/>
    <cellStyle name="RISKdarkBoxed 7 2 21" xfId="12103" xr:uid="{D1EEBC50-1B17-45DC-8899-75DEC8154A35}"/>
    <cellStyle name="RISKdarkBoxed 7 2 22" xfId="12580" xr:uid="{1BC77C82-80DC-4AFB-B54C-92E809DC3CA4}"/>
    <cellStyle name="RISKdarkBoxed 7 2 23" xfId="12291" xr:uid="{9996206D-DE7C-41F4-8509-8607A753BFA8}"/>
    <cellStyle name="RISKdarkBoxed 7 2 24" xfId="12717" xr:uid="{70022548-9FBF-4598-987C-C29F7BE53F1F}"/>
    <cellStyle name="RISKdarkBoxed 7 2 25" xfId="13218" xr:uid="{C6091A80-CEC4-4FEB-B359-C5C5932F06F8}"/>
    <cellStyle name="RISKdarkBoxed 7 2 26" xfId="13041" xr:uid="{DF3B5D9F-0BB7-4039-91DF-7A8F0237A252}"/>
    <cellStyle name="RISKdarkBoxed 7 2 3" xfId="1525" xr:uid="{00000000-0005-0000-0000-000030050000}"/>
    <cellStyle name="RISKdarkBoxed 7 2 3 2" xfId="3626" xr:uid="{AFF8035F-908D-4740-B905-F5EBD054538C}"/>
    <cellStyle name="RISKdarkBoxed 7 2 3 3" xfId="4934" xr:uid="{D27BE6C3-504E-43C6-AB37-CB0BCA614756}"/>
    <cellStyle name="RISKdarkBoxed 7 2 3 4" xfId="8141" xr:uid="{8426D0E1-0264-472F-A1BA-438347F77B88}"/>
    <cellStyle name="RISKdarkBoxed 7 2 4" xfId="1782" xr:uid="{00000000-0005-0000-0000-000031050000}"/>
    <cellStyle name="RISKdarkBoxed 7 2 4 2" xfId="3882" xr:uid="{0A650129-0C6F-4384-8902-D2D425F7EF8E}"/>
    <cellStyle name="RISKdarkBoxed 7 2 4 3" xfId="5186" xr:uid="{E3017272-3D68-4E06-A096-3CE36B708FA9}"/>
    <cellStyle name="RISKdarkBoxed 7 2 4 4" xfId="8380" xr:uid="{A9369DE4-70B9-4252-9E7F-9F426635FA38}"/>
    <cellStyle name="RISKdarkBoxed 7 2 5" xfId="2036" xr:uid="{00000000-0005-0000-0000-000032050000}"/>
    <cellStyle name="RISKdarkBoxed 7 2 5 2" xfId="4126" xr:uid="{3D1EC7F6-DA2B-4CD6-A251-D5C582A6D80C}"/>
    <cellStyle name="RISKdarkBoxed 7 2 5 3" xfId="5424" xr:uid="{7F80ABB4-06D1-4950-9B5E-CB99BEF1106B}"/>
    <cellStyle name="RISKdarkBoxed 7 2 5 4" xfId="8616" xr:uid="{C11DA43E-D501-42E3-BFBD-DD5C80360041}"/>
    <cellStyle name="RISKdarkBoxed 7 2 6" xfId="2278" xr:uid="{59863C88-9CE7-4CC3-A659-33C847985227}"/>
    <cellStyle name="RISKdarkBoxed 7 2 6 2" xfId="5660" xr:uid="{E5FFF034-1391-43E1-8C70-0E8EAD34AD9C}"/>
    <cellStyle name="RISKdarkBoxed 7 2 6 3" xfId="8852" xr:uid="{3B2FD66F-54BC-4EF3-90C8-10DBCAD91449}"/>
    <cellStyle name="RISKdarkBoxed 7 2 7" xfId="2514" xr:uid="{76250B34-F5D7-482B-94B9-2792146239FA}"/>
    <cellStyle name="RISKdarkBoxed 7 2 7 2" xfId="5890" xr:uid="{52571059-FA24-4142-8C4F-35C63184FE26}"/>
    <cellStyle name="RISKdarkBoxed 7 2 7 3" xfId="9082" xr:uid="{B3BBFA09-0A91-412A-9EC3-B6F92D801016}"/>
    <cellStyle name="RISKdarkBoxed 7 2 8" xfId="2753" xr:uid="{D0D72A5C-939A-4C2F-8B4B-D888664099A7}"/>
    <cellStyle name="RISKdarkBoxed 7 2 8 2" xfId="6123" xr:uid="{4603D37D-1242-42B7-8B5C-80536222D923}"/>
    <cellStyle name="RISKdarkBoxed 7 2 8 3" xfId="9312" xr:uid="{6964985D-FC45-4379-A36E-158E9EB55A9B}"/>
    <cellStyle name="RISKdarkBoxed 7 2 9" xfId="2988" xr:uid="{B96CB8BB-E7CF-45EE-83E6-32CBEBEE7AAC}"/>
    <cellStyle name="RISKdarkBoxed 7 2 9 2" xfId="6356" xr:uid="{38B708C9-BD40-4381-8321-4224E070E082}"/>
    <cellStyle name="RISKdarkBoxed 7 2 9 3" xfId="9542" xr:uid="{EC9BE2E0-E1AC-47E3-8309-684FCF0FD8E6}"/>
    <cellStyle name="RISKdarkBoxed 7 20" xfId="11420" xr:uid="{962F4182-E409-4909-B0AA-DBC620A94747}"/>
    <cellStyle name="RISKdarkBoxed 7 21" xfId="11173" xr:uid="{17F586E0-72C5-4DC1-841C-5EA613C94A01}"/>
    <cellStyle name="RISKdarkBoxed 7 22" xfId="11896" xr:uid="{0EF9CD43-8686-4382-A7A5-9C96BB1ECF45}"/>
    <cellStyle name="RISKdarkBoxed 7 23" xfId="12102" xr:uid="{318B89BC-2967-4C29-B5EA-7B3E730A4917}"/>
    <cellStyle name="RISKdarkBoxed 7 24" xfId="12579" xr:uid="{4548A254-9D22-4FF4-8D72-AC305AA29699}"/>
    <cellStyle name="RISKdarkBoxed 7 25" xfId="12292" xr:uid="{2DC1085C-8D47-44F4-88AB-B577C7AE682C}"/>
    <cellStyle name="RISKdarkBoxed 7 26" xfId="12716" xr:uid="{5974076B-AEFB-477C-902B-BAEC29005000}"/>
    <cellStyle name="RISKdarkBoxed 7 27" xfId="13217" xr:uid="{7823D98D-7855-4F7F-AC4C-5F9FBC494DBE}"/>
    <cellStyle name="RISKdarkBoxed 7 28" xfId="13042" xr:uid="{85409DA3-D6ED-4B95-B883-068F75A226B0}"/>
    <cellStyle name="RISKdarkBoxed 7 3" xfId="932" xr:uid="{00000000-0005-0000-0000-000033050000}"/>
    <cellStyle name="RISKdarkBoxed 7 3 10" xfId="3201" xr:uid="{C6C089C8-AE52-4B60-8BDE-B8A0603921FE}"/>
    <cellStyle name="RISKdarkBoxed 7 3 10 2" xfId="6620" xr:uid="{749F6993-EDF4-489F-8566-80538B0A48BC}"/>
    <cellStyle name="RISKdarkBoxed 7 3 10 3" xfId="9785" xr:uid="{6EDAD0D0-7055-4F8A-8B5B-E96ED91C4128}"/>
    <cellStyle name="RISKdarkBoxed 7 3 11" xfId="6882" xr:uid="{CCC6B3A7-7720-48ED-9F76-3845968F50A2}"/>
    <cellStyle name="RISKdarkBoxed 7 3 11 2" xfId="10027" xr:uid="{BF6C8FD4-DD03-46FE-91FC-FA5B40EDCBE1}"/>
    <cellStyle name="RISKdarkBoxed 7 3 12" xfId="7161" xr:uid="{0B4386E6-F69B-4626-83BF-77C017B174EB}"/>
    <cellStyle name="RISKdarkBoxed 7 3 12 2" xfId="10300" xr:uid="{30E0791A-D482-4920-AAF7-1CBF053465A0}"/>
    <cellStyle name="RISKdarkBoxed 7 3 13" xfId="7474" xr:uid="{F2C81733-3538-4DAD-9C86-A5637A7E864B}"/>
    <cellStyle name="RISKdarkBoxed 7 3 13 2" xfId="10609" xr:uid="{BE587438-2C07-449B-86B7-8EDFE21F60E9}"/>
    <cellStyle name="RISKdarkBoxed 7 3 14" xfId="7294" xr:uid="{1A97E111-5DEC-409D-8EE7-DA3D9567524C}"/>
    <cellStyle name="RISKdarkBoxed 7 3 14 2" xfId="10432" xr:uid="{DC773197-2772-469F-B462-8EF977B323FA}"/>
    <cellStyle name="RISKdarkBoxed 7 3 15" xfId="4502" xr:uid="{01B2AF43-E1A0-4B4D-811E-F98384A5760F}"/>
    <cellStyle name="RISKdarkBoxed 7 3 16" xfId="4324" xr:uid="{9571DAEB-D3D6-4586-AEC1-17EA75312560}"/>
    <cellStyle name="RISKdarkBoxed 7 3 17" xfId="11009" xr:uid="{B076EFA7-6178-463E-8F5D-88EC45BB6C0B}"/>
    <cellStyle name="RISKdarkBoxed 7 3 18" xfId="11422" xr:uid="{52551A55-1605-4DEA-9E6F-6B932AE1B322}"/>
    <cellStyle name="RISKdarkBoxed 7 3 19" xfId="11171" xr:uid="{7E51E1C4-FD90-44F8-8C44-38129174E473}"/>
    <cellStyle name="RISKdarkBoxed 7 3 2" xfId="1322" xr:uid="{00000000-0005-0000-0000-000034050000}"/>
    <cellStyle name="RISKdarkBoxed 7 3 2 2" xfId="3433" xr:uid="{4D86606D-B7EE-49AF-ADED-298CFCC3B6B9}"/>
    <cellStyle name="RISKdarkBoxed 7 3 2 3" xfId="4739" xr:uid="{CE927277-E382-44C8-99BB-18E195AAB618}"/>
    <cellStyle name="RISKdarkBoxed 7 3 2 4" xfId="7949" xr:uid="{2C73B7BD-D69A-40E6-B770-FEDDA4A8030B}"/>
    <cellStyle name="RISKdarkBoxed 7 3 20" xfId="11898" xr:uid="{4425ED25-C5F3-4CF9-A516-29E17448E8B7}"/>
    <cellStyle name="RISKdarkBoxed 7 3 21" xfId="12104" xr:uid="{4D9BA45A-A204-4D17-8C5B-11FB843EBA6D}"/>
    <cellStyle name="RISKdarkBoxed 7 3 22" xfId="12581" xr:uid="{35B3B5F6-EC00-40DA-881D-EAED017F92AB}"/>
    <cellStyle name="RISKdarkBoxed 7 3 23" xfId="12290" xr:uid="{4A7D374E-E09C-48BB-B334-AC664541DD78}"/>
    <cellStyle name="RISKdarkBoxed 7 3 24" xfId="12718" xr:uid="{E493F665-F69B-48F6-88AD-CBF94BBA8093}"/>
    <cellStyle name="RISKdarkBoxed 7 3 25" xfId="13219" xr:uid="{87086492-3A11-466E-B4D6-65A2B2225F64}"/>
    <cellStyle name="RISKdarkBoxed 7 3 26" xfId="13040" xr:uid="{894B9738-707F-42DC-9304-3D84A23F5EF4}"/>
    <cellStyle name="RISKdarkBoxed 7 3 3" xfId="1526" xr:uid="{00000000-0005-0000-0000-000035050000}"/>
    <cellStyle name="RISKdarkBoxed 7 3 3 2" xfId="3627" xr:uid="{E88A74E2-19DC-4A28-B90F-097642738C88}"/>
    <cellStyle name="RISKdarkBoxed 7 3 3 3" xfId="4935" xr:uid="{EB5A0E5B-CE66-4910-BF95-45855DD4CE0B}"/>
    <cellStyle name="RISKdarkBoxed 7 3 3 4" xfId="8142" xr:uid="{10EFEDB1-4544-4F54-9B95-A6A0255138CC}"/>
    <cellStyle name="RISKdarkBoxed 7 3 4" xfId="1783" xr:uid="{00000000-0005-0000-0000-000036050000}"/>
    <cellStyle name="RISKdarkBoxed 7 3 4 2" xfId="3883" xr:uid="{A93BF3E9-89AB-4A97-BDF9-82164551FF94}"/>
    <cellStyle name="RISKdarkBoxed 7 3 4 3" xfId="5187" xr:uid="{9AE95249-C472-483D-9DB1-AD3693BDAEC0}"/>
    <cellStyle name="RISKdarkBoxed 7 3 4 4" xfId="8381" xr:uid="{40BCA8A2-E588-476B-9826-24CA45D0E8F3}"/>
    <cellStyle name="RISKdarkBoxed 7 3 5" xfId="2037" xr:uid="{00000000-0005-0000-0000-000037050000}"/>
    <cellStyle name="RISKdarkBoxed 7 3 5 2" xfId="4127" xr:uid="{1665675B-565A-429C-BDC8-13FC1B8B5EF9}"/>
    <cellStyle name="RISKdarkBoxed 7 3 5 3" xfId="5425" xr:uid="{C6DE180A-E657-490C-9D41-A165761011CF}"/>
    <cellStyle name="RISKdarkBoxed 7 3 5 4" xfId="8617" xr:uid="{2AC91C7A-193C-4EE2-83FB-8544C2050722}"/>
    <cellStyle name="RISKdarkBoxed 7 3 6" xfId="2279" xr:uid="{52A7CCFC-BE1F-40DE-94EB-B149C6F11E3D}"/>
    <cellStyle name="RISKdarkBoxed 7 3 6 2" xfId="5661" xr:uid="{CE1A26D4-56E4-4A99-B459-6A1396256FAD}"/>
    <cellStyle name="RISKdarkBoxed 7 3 6 3" xfId="8853" xr:uid="{312346C9-9A65-45F0-AB63-A836A9D54357}"/>
    <cellStyle name="RISKdarkBoxed 7 3 7" xfId="2515" xr:uid="{9CE4C594-067E-4146-B853-ED76D91E53D1}"/>
    <cellStyle name="RISKdarkBoxed 7 3 7 2" xfId="5891" xr:uid="{C53BF9FB-21BD-455C-82DB-0F95F95FA004}"/>
    <cellStyle name="RISKdarkBoxed 7 3 7 3" xfId="9083" xr:uid="{531A4269-9C8C-4927-B135-0DB06AE663CA}"/>
    <cellStyle name="RISKdarkBoxed 7 3 8" xfId="2754" xr:uid="{2CF03B0A-A211-4B31-827C-660CCC76C552}"/>
    <cellStyle name="RISKdarkBoxed 7 3 8 2" xfId="6124" xr:uid="{BEAC188D-AF87-418F-82BA-08DA04AC6A81}"/>
    <cellStyle name="RISKdarkBoxed 7 3 8 3" xfId="9313" xr:uid="{89758AEA-BA48-4DA1-9CA6-72C77324FDDA}"/>
    <cellStyle name="RISKdarkBoxed 7 3 9" xfId="2989" xr:uid="{5CEE26B0-B283-4868-B288-98CA9BDD709E}"/>
    <cellStyle name="RISKdarkBoxed 7 3 9 2" xfId="6357" xr:uid="{C533457C-BF5A-43D8-9298-DB966FA14A37}"/>
    <cellStyle name="RISKdarkBoxed 7 3 9 3" xfId="9543" xr:uid="{539A25E3-2985-4A3F-B0E5-FFFA7C20576C}"/>
    <cellStyle name="RISKdarkBoxed 7 4" xfId="1320" xr:uid="{00000000-0005-0000-0000-000038050000}"/>
    <cellStyle name="RISKdarkBoxed 7 4 2" xfId="3431" xr:uid="{48AA70F0-B944-4AA8-8865-62954F1272C8}"/>
    <cellStyle name="RISKdarkBoxed 7 4 3" xfId="4737" xr:uid="{10B98D14-42EE-484E-A019-3025FB270C6A}"/>
    <cellStyle name="RISKdarkBoxed 7 4 4" xfId="7947" xr:uid="{6BB35A18-66BD-4C69-9FC3-872CD35F2256}"/>
    <cellStyle name="RISKdarkBoxed 7 5" xfId="1524" xr:uid="{00000000-0005-0000-0000-000039050000}"/>
    <cellStyle name="RISKdarkBoxed 7 5 2" xfId="3625" xr:uid="{E8EA5FE7-BE30-4007-B9A8-706F2D2190E3}"/>
    <cellStyle name="RISKdarkBoxed 7 5 3" xfId="4933" xr:uid="{8CC97E81-D5AA-45D1-8944-E664FACB1F8B}"/>
    <cellStyle name="RISKdarkBoxed 7 5 4" xfId="8140" xr:uid="{9733DE17-C6E7-410D-8FEE-770C622557B6}"/>
    <cellStyle name="RISKdarkBoxed 7 6" xfId="1781" xr:uid="{00000000-0005-0000-0000-00003A050000}"/>
    <cellStyle name="RISKdarkBoxed 7 6 2" xfId="3881" xr:uid="{12B8A862-75F4-464F-A33C-9738A36D5446}"/>
    <cellStyle name="RISKdarkBoxed 7 6 3" xfId="5185" xr:uid="{8E04A66C-C538-43F0-A0A7-4DCBEE0E17DA}"/>
    <cellStyle name="RISKdarkBoxed 7 6 4" xfId="8379" xr:uid="{B8726A12-D5AE-4BBE-B40F-748DAA1996F0}"/>
    <cellStyle name="RISKdarkBoxed 7 7" xfId="2035" xr:uid="{00000000-0005-0000-0000-00003B050000}"/>
    <cellStyle name="RISKdarkBoxed 7 7 2" xfId="4125" xr:uid="{DF39D5F8-B70A-4CE5-9F53-3D0441E21328}"/>
    <cellStyle name="RISKdarkBoxed 7 7 3" xfId="5423" xr:uid="{72128335-10BA-4D50-8941-68E321948275}"/>
    <cellStyle name="RISKdarkBoxed 7 7 4" xfId="8615" xr:uid="{CFE6986D-6E9E-4002-9E09-05E1F20F5707}"/>
    <cellStyle name="RISKdarkBoxed 7 8" xfId="2277" xr:uid="{D44F61A0-1BEA-49BE-BAA4-665DC7F17322}"/>
    <cellStyle name="RISKdarkBoxed 7 8 2" xfId="5659" xr:uid="{03016CA3-C245-4787-B5A0-7FB56B3B1B08}"/>
    <cellStyle name="RISKdarkBoxed 7 8 3" xfId="8851" xr:uid="{F1A9AF3B-A7DA-4D7D-AAD3-89BC50440151}"/>
    <cellStyle name="RISKdarkBoxed 7 9" xfId="2513" xr:uid="{3380DD16-2A1D-4C09-81CE-D620EA22E034}"/>
    <cellStyle name="RISKdarkBoxed 7 9 2" xfId="5889" xr:uid="{139EB401-F46F-47A2-B0D0-C6034C98301A}"/>
    <cellStyle name="RISKdarkBoxed 7 9 3" xfId="9081" xr:uid="{2D29ED32-3254-46A5-BFC5-41232901D983}"/>
    <cellStyle name="RISKdarkBoxed 8" xfId="933" xr:uid="{00000000-0005-0000-0000-00003C050000}"/>
    <cellStyle name="RISKdarkBoxed 8 10" xfId="3202" xr:uid="{F81AEBF4-4FB7-4818-A211-EBD3B1DED99B}"/>
    <cellStyle name="RISKdarkBoxed 8 10 2" xfId="6621" xr:uid="{CD03C7C9-C7CE-40F6-8E30-6754D956C688}"/>
    <cellStyle name="RISKdarkBoxed 8 10 3" xfId="9786" xr:uid="{A0E58597-6BE3-4163-AAB1-7D1AA115FC69}"/>
    <cellStyle name="RISKdarkBoxed 8 11" xfId="6883" xr:uid="{F2CC4A24-631C-4EE4-9465-28C7B79577DB}"/>
    <cellStyle name="RISKdarkBoxed 8 11 2" xfId="10028" xr:uid="{11BA0A74-3017-4065-8D15-BAE529E3A2FA}"/>
    <cellStyle name="RISKdarkBoxed 8 12" xfId="7162" xr:uid="{34F94864-813B-4016-902F-393EABAE8ACA}"/>
    <cellStyle name="RISKdarkBoxed 8 12 2" xfId="10301" xr:uid="{779A1270-0AE5-433C-B7FE-A5CF682A7977}"/>
    <cellStyle name="RISKdarkBoxed 8 13" xfId="7475" xr:uid="{A748A653-EA5B-46F7-9A3C-0C4A12E79F93}"/>
    <cellStyle name="RISKdarkBoxed 8 13 2" xfId="10610" xr:uid="{626E9B95-D14A-479D-8FDF-F6E61ACB7C98}"/>
    <cellStyle name="RISKdarkBoxed 8 14" xfId="7293" xr:uid="{ED1F32FF-35C8-4950-B56C-FBE5C54FE4E4}"/>
    <cellStyle name="RISKdarkBoxed 8 14 2" xfId="10431" xr:uid="{30619AB4-10C5-48A2-AB9E-D515D1FDB815}"/>
    <cellStyle name="RISKdarkBoxed 8 15" xfId="4503" xr:uid="{8011D64C-F4D0-4E31-AEBE-F68585D1EB66}"/>
    <cellStyle name="RISKdarkBoxed 8 16" xfId="4323" xr:uid="{20E61AEE-C898-427A-BDFE-DC07AC532A8C}"/>
    <cellStyle name="RISKdarkBoxed 8 17" xfId="11010" xr:uid="{057C1BD5-725C-43A9-9AD6-29D875389075}"/>
    <cellStyle name="RISKdarkBoxed 8 18" xfId="11423" xr:uid="{878CEB29-780C-4F52-8E73-4D72F7075128}"/>
    <cellStyle name="RISKdarkBoxed 8 19" xfId="11170" xr:uid="{639ED8A3-E8B8-4F6F-8C12-BA519A0E9876}"/>
    <cellStyle name="RISKdarkBoxed 8 2" xfId="1323" xr:uid="{00000000-0005-0000-0000-00003D050000}"/>
    <cellStyle name="RISKdarkBoxed 8 2 2" xfId="3434" xr:uid="{C94522B6-0F67-4D25-9855-8C3703E0DAD7}"/>
    <cellStyle name="RISKdarkBoxed 8 2 3" xfId="4740" xr:uid="{15B9242F-8F7B-44E0-9AC4-5639C1B0951C}"/>
    <cellStyle name="RISKdarkBoxed 8 2 4" xfId="7950" xr:uid="{6FB38814-64A6-4CDF-8F0D-318EB8C832DF}"/>
    <cellStyle name="RISKdarkBoxed 8 20" xfId="11899" xr:uid="{BE3FD0B4-C093-4240-BF58-65FD8310CB46}"/>
    <cellStyle name="RISKdarkBoxed 8 21" xfId="12105" xr:uid="{69A567E7-5217-4582-ABA5-C7438AD7E0A3}"/>
    <cellStyle name="RISKdarkBoxed 8 22" xfId="12582" xr:uid="{45EB9DA3-514B-46BD-8DE9-D973F83A7479}"/>
    <cellStyle name="RISKdarkBoxed 8 23" xfId="12289" xr:uid="{098CF6EF-66E7-4D63-9E28-6BE2E7D03540}"/>
    <cellStyle name="RISKdarkBoxed 8 24" xfId="12719" xr:uid="{351C17EC-3BD4-4F48-B8A2-0226762CC5FB}"/>
    <cellStyle name="RISKdarkBoxed 8 25" xfId="13220" xr:uid="{1AAA31BD-C45E-4C85-B38E-5E2FAFF60318}"/>
    <cellStyle name="RISKdarkBoxed 8 26" xfId="13039" xr:uid="{BDB1400F-359D-414C-835E-71519767D37F}"/>
    <cellStyle name="RISKdarkBoxed 8 3" xfId="1527" xr:uid="{00000000-0005-0000-0000-00003E050000}"/>
    <cellStyle name="RISKdarkBoxed 8 3 2" xfId="3628" xr:uid="{640BAF54-46DD-4AD9-A252-7F9CC4014341}"/>
    <cellStyle name="RISKdarkBoxed 8 3 3" xfId="4936" xr:uid="{2C4E60D0-9C1A-4BBA-A5E3-CBEEB8606A0D}"/>
    <cellStyle name="RISKdarkBoxed 8 3 4" xfId="8143" xr:uid="{5BAC40F0-E342-4E44-842B-96D6F2395B7E}"/>
    <cellStyle name="RISKdarkBoxed 8 4" xfId="1784" xr:uid="{00000000-0005-0000-0000-00003F050000}"/>
    <cellStyle name="RISKdarkBoxed 8 4 2" xfId="3884" xr:uid="{5C08E1FE-0025-44A2-9678-7AB0292D661B}"/>
    <cellStyle name="RISKdarkBoxed 8 4 3" xfId="5188" xr:uid="{685F7E94-9666-4ED9-95B2-D87AFDEC74C9}"/>
    <cellStyle name="RISKdarkBoxed 8 4 4" xfId="8382" xr:uid="{CB8DC252-1A84-474C-B2EC-4E9924C6E824}"/>
    <cellStyle name="RISKdarkBoxed 8 5" xfId="2038" xr:uid="{00000000-0005-0000-0000-000040050000}"/>
    <cellStyle name="RISKdarkBoxed 8 5 2" xfId="4128" xr:uid="{4C7A133E-A46A-4721-8CD7-1158C5523EF5}"/>
    <cellStyle name="RISKdarkBoxed 8 5 3" xfId="5426" xr:uid="{CDDD25FC-DF51-43A2-AC41-717EB47E129E}"/>
    <cellStyle name="RISKdarkBoxed 8 5 4" xfId="8618" xr:uid="{29313A7E-8BF4-4F56-97F4-E269CED23F5B}"/>
    <cellStyle name="RISKdarkBoxed 8 6" xfId="2280" xr:uid="{80D475FF-66F5-4F63-96D1-346291E24B7A}"/>
    <cellStyle name="RISKdarkBoxed 8 6 2" xfId="5662" xr:uid="{EC198835-3D0B-4C88-994C-EEC15ACB1540}"/>
    <cellStyle name="RISKdarkBoxed 8 6 3" xfId="8854" xr:uid="{6FF9ED79-E5A8-435F-96E6-AD4AA89B5A14}"/>
    <cellStyle name="RISKdarkBoxed 8 7" xfId="2516" xr:uid="{08B6264C-93E9-4078-AB55-E0E29BACC704}"/>
    <cellStyle name="RISKdarkBoxed 8 7 2" xfId="5892" xr:uid="{2392DBBC-DBB1-448D-BBDA-49214EF80573}"/>
    <cellStyle name="RISKdarkBoxed 8 7 3" xfId="9084" xr:uid="{AAC04205-ACA5-475A-8273-155B0412251D}"/>
    <cellStyle name="RISKdarkBoxed 8 8" xfId="2755" xr:uid="{116C4046-31C2-4189-886E-BD19F7EB1A50}"/>
    <cellStyle name="RISKdarkBoxed 8 8 2" xfId="6125" xr:uid="{4A00D248-B647-4CA7-9C2A-273E5F3FF67E}"/>
    <cellStyle name="RISKdarkBoxed 8 8 3" xfId="9314" xr:uid="{A05027EB-D7D8-4ABF-8B09-6EA330FBFFD4}"/>
    <cellStyle name="RISKdarkBoxed 8 9" xfId="2990" xr:uid="{ECF9D02B-56C0-466D-9151-A73E749F41C3}"/>
    <cellStyle name="RISKdarkBoxed 8 9 2" xfId="6358" xr:uid="{64DCEB06-3B5E-4473-AA9D-122D403840AE}"/>
    <cellStyle name="RISKdarkBoxed 8 9 3" xfId="9544" xr:uid="{9E3AC42E-0ECA-4DE3-9029-ECAA0667F9A7}"/>
    <cellStyle name="RISKdarkBoxed 9" xfId="1309" xr:uid="{00000000-0005-0000-0000-000041050000}"/>
    <cellStyle name="RISKdarkBoxed 9 2" xfId="3420" xr:uid="{D08B11FD-C129-423F-B2BF-17392CB1556D}"/>
    <cellStyle name="RISKdarkBoxed 9 3" xfId="4726" xr:uid="{C412A062-7DEA-48F6-AE3C-6142A7FCB1B4}"/>
    <cellStyle name="RISKdarkBoxed 9 4" xfId="7936" xr:uid="{BBCD1D7D-8BD8-4341-A985-8F040B8DADD6}"/>
    <cellStyle name="RISKdarkShade" xfId="934" xr:uid="{00000000-0005-0000-0000-000042050000}"/>
    <cellStyle name="RISKdarkShade 2" xfId="935" xr:uid="{00000000-0005-0000-0000-000043050000}"/>
    <cellStyle name="RISKdarkShade 3" xfId="936" xr:uid="{00000000-0005-0000-0000-000044050000}"/>
    <cellStyle name="RISKdarkShade 4" xfId="937" xr:uid="{00000000-0005-0000-0000-000045050000}"/>
    <cellStyle name="RISKdarkShade 5" xfId="938" xr:uid="{00000000-0005-0000-0000-000046050000}"/>
    <cellStyle name="RISKdarkShade 6" xfId="939" xr:uid="{00000000-0005-0000-0000-000047050000}"/>
    <cellStyle name="RISKdarkShade 7" xfId="940" xr:uid="{00000000-0005-0000-0000-000048050000}"/>
    <cellStyle name="RISKdarkShade 7 2" xfId="941" xr:uid="{00000000-0005-0000-0000-000049050000}"/>
    <cellStyle name="RISKdbottomEdge" xfId="942" xr:uid="{00000000-0005-0000-0000-00004A050000}"/>
    <cellStyle name="RISKdbottomEdge 2" xfId="943" xr:uid="{00000000-0005-0000-0000-00004B050000}"/>
    <cellStyle name="RISKdbottomEdge 3" xfId="944" xr:uid="{00000000-0005-0000-0000-00004C050000}"/>
    <cellStyle name="RISKdbottomEdge 4" xfId="945" xr:uid="{00000000-0005-0000-0000-00004D050000}"/>
    <cellStyle name="RISKdbottomEdge 5" xfId="946" xr:uid="{00000000-0005-0000-0000-00004E050000}"/>
    <cellStyle name="RISKdbottomEdge 6" xfId="947" xr:uid="{00000000-0005-0000-0000-00004F050000}"/>
    <cellStyle name="RISKdbottomEdge 7" xfId="948" xr:uid="{00000000-0005-0000-0000-000050050000}"/>
    <cellStyle name="RISKdbottomEdge 7 2" xfId="949" xr:uid="{00000000-0005-0000-0000-000051050000}"/>
    <cellStyle name="RISKdrightEdge" xfId="950" xr:uid="{00000000-0005-0000-0000-000052050000}"/>
    <cellStyle name="RISKdrightEdge 2" xfId="951" xr:uid="{00000000-0005-0000-0000-000053050000}"/>
    <cellStyle name="RISKdrightEdge 3" xfId="952" xr:uid="{00000000-0005-0000-0000-000054050000}"/>
    <cellStyle name="RISKdrightEdge 4" xfId="953" xr:uid="{00000000-0005-0000-0000-000055050000}"/>
    <cellStyle name="RISKdrightEdge 5" xfId="954" xr:uid="{00000000-0005-0000-0000-000056050000}"/>
    <cellStyle name="RISKdrightEdge 6" xfId="955" xr:uid="{00000000-0005-0000-0000-000057050000}"/>
    <cellStyle name="RISKdrightEdge 7" xfId="956" xr:uid="{00000000-0005-0000-0000-000058050000}"/>
    <cellStyle name="RISKdrightEdge 7 2" xfId="957" xr:uid="{00000000-0005-0000-0000-000059050000}"/>
    <cellStyle name="RISKdurationTime" xfId="958" xr:uid="{00000000-0005-0000-0000-00005A050000}"/>
    <cellStyle name="RISKdurationTime 2" xfId="959" xr:uid="{00000000-0005-0000-0000-00005B050000}"/>
    <cellStyle name="RISKdurationTime 3" xfId="960" xr:uid="{00000000-0005-0000-0000-00005C050000}"/>
    <cellStyle name="RISKdurationTime 4" xfId="961" xr:uid="{00000000-0005-0000-0000-00005D050000}"/>
    <cellStyle name="RISKdurationTime 5" xfId="962" xr:uid="{00000000-0005-0000-0000-00005E050000}"/>
    <cellStyle name="RISKdurationTime 6" xfId="963" xr:uid="{00000000-0005-0000-0000-00005F050000}"/>
    <cellStyle name="RISKdurationTime 7" xfId="964" xr:uid="{00000000-0005-0000-0000-000060050000}"/>
    <cellStyle name="RISKdurationTime 7 2" xfId="965" xr:uid="{00000000-0005-0000-0000-000061050000}"/>
    <cellStyle name="RISKinNumber" xfId="966" xr:uid="{00000000-0005-0000-0000-000062050000}"/>
    <cellStyle name="RISKlandrEdge" xfId="967" xr:uid="{00000000-0005-0000-0000-000063050000}"/>
    <cellStyle name="RISKlandrEdge 2" xfId="968" xr:uid="{00000000-0005-0000-0000-000064050000}"/>
    <cellStyle name="RISKlandrEdge 2 2" xfId="12107" xr:uid="{180F3B83-22F8-40C0-81D2-1B4188973D60}"/>
    <cellStyle name="RISKlandrEdge 2 3" xfId="12287" xr:uid="{A4C4150B-34BE-46EF-9CB9-46B35169A790}"/>
    <cellStyle name="RISKlandrEdge 3" xfId="969" xr:uid="{00000000-0005-0000-0000-000065050000}"/>
    <cellStyle name="RISKlandrEdge 3 2" xfId="12108" xr:uid="{FBF468D9-EB27-4242-A609-7701EBA933A4}"/>
    <cellStyle name="RISKlandrEdge 3 3" xfId="12286" xr:uid="{D2C895DD-E639-4B0C-AFCC-67DEA902A489}"/>
    <cellStyle name="RISKlandrEdge 4" xfId="970" xr:uid="{00000000-0005-0000-0000-000066050000}"/>
    <cellStyle name="RISKlandrEdge 4 2" xfId="12109" xr:uid="{822988DE-42E6-425A-83A4-1B3DD4E961A4}"/>
    <cellStyle name="RISKlandrEdge 4 3" xfId="12285" xr:uid="{7C94694B-1A47-44B5-AFB4-39F7D0E2773B}"/>
    <cellStyle name="RISKlandrEdge 5" xfId="971" xr:uid="{00000000-0005-0000-0000-000067050000}"/>
    <cellStyle name="RISKlandrEdge 5 2" xfId="12110" xr:uid="{0501C085-498A-48C3-84E2-F4B1256241C6}"/>
    <cellStyle name="RISKlandrEdge 5 3" xfId="12284" xr:uid="{D06CF8D2-307F-4404-B277-F31C30C05F1A}"/>
    <cellStyle name="RISKlandrEdge 6" xfId="972" xr:uid="{00000000-0005-0000-0000-000068050000}"/>
    <cellStyle name="RISKlandrEdge 6 2" xfId="12111" xr:uid="{F56BFBD7-FF6C-4DDE-80D2-DB09196D0C8D}"/>
    <cellStyle name="RISKlandrEdge 6 3" xfId="12283" xr:uid="{D67166FD-473D-4B42-B6EE-1214A542AB8B}"/>
    <cellStyle name="RISKlandrEdge 7" xfId="973" xr:uid="{00000000-0005-0000-0000-000069050000}"/>
    <cellStyle name="RISKlandrEdge 7 2" xfId="974" xr:uid="{00000000-0005-0000-0000-00006A050000}"/>
    <cellStyle name="RISKlandrEdge 7 2 2" xfId="12113" xr:uid="{B73DA179-6C72-440F-9C8F-3AAA0E9B0992}"/>
    <cellStyle name="RISKlandrEdge 7 2 3" xfId="12281" xr:uid="{23F64E75-22DD-4451-8AB6-614D24DAFB71}"/>
    <cellStyle name="RISKlandrEdge 7 3" xfId="12112" xr:uid="{D3215909-F570-4AC8-8FF1-2EEE18295CE9}"/>
    <cellStyle name="RISKlandrEdge 7 4" xfId="12282" xr:uid="{E39DD85D-C01E-488B-A209-CC41EA02D83C}"/>
    <cellStyle name="RISKlandrEdge 8" xfId="12106" xr:uid="{5A097CD5-103B-4ABA-BB80-CF3F7ECE9CC4}"/>
    <cellStyle name="RISKlandrEdge 9" xfId="12288" xr:uid="{337CBA26-372F-4DD2-99AF-127B1C8575E3}"/>
    <cellStyle name="RISKleftEdge" xfId="975" xr:uid="{00000000-0005-0000-0000-00006B050000}"/>
    <cellStyle name="RISKleftEdge 2" xfId="976" xr:uid="{00000000-0005-0000-0000-00006C050000}"/>
    <cellStyle name="RISKleftEdge 2 2" xfId="12115" xr:uid="{76C858FF-D6DC-437A-8520-09A173962A80}"/>
    <cellStyle name="RISKleftEdge 2 3" xfId="12279" xr:uid="{7983625A-628A-4B80-9AF8-3E0C11FFF5A7}"/>
    <cellStyle name="RISKleftEdge 3" xfId="977" xr:uid="{00000000-0005-0000-0000-00006D050000}"/>
    <cellStyle name="RISKleftEdge 3 2" xfId="12116" xr:uid="{0A239EDC-E62E-4F4D-8578-9727F12BA605}"/>
    <cellStyle name="RISKleftEdge 3 3" xfId="12278" xr:uid="{DD5BD72F-1F8F-4932-9331-676A2D31E3A1}"/>
    <cellStyle name="RISKleftEdge 4" xfId="978" xr:uid="{00000000-0005-0000-0000-00006E050000}"/>
    <cellStyle name="RISKleftEdge 4 2" xfId="12117" xr:uid="{67014104-61F8-4C54-9C43-D615483DF5A6}"/>
    <cellStyle name="RISKleftEdge 4 3" xfId="12277" xr:uid="{2E78FDBC-D417-4DF5-B292-5E1B6863B5B0}"/>
    <cellStyle name="RISKleftEdge 5" xfId="979" xr:uid="{00000000-0005-0000-0000-00006F050000}"/>
    <cellStyle name="RISKleftEdge 5 2" xfId="12118" xr:uid="{B9D5CDE9-3495-4911-9233-EA04FF854E45}"/>
    <cellStyle name="RISKleftEdge 5 3" xfId="12276" xr:uid="{01FED5BA-4AAD-4A20-8CEC-A572B71B514F}"/>
    <cellStyle name="RISKleftEdge 6" xfId="980" xr:uid="{00000000-0005-0000-0000-000070050000}"/>
    <cellStyle name="RISKleftEdge 6 2" xfId="12119" xr:uid="{8EB8BCA3-FC1C-42CB-812F-F3FDA34746F8}"/>
    <cellStyle name="RISKleftEdge 6 3" xfId="12275" xr:uid="{3DA28B86-D4EA-4B6F-887A-B80A37AD8641}"/>
    <cellStyle name="RISKleftEdge 7" xfId="981" xr:uid="{00000000-0005-0000-0000-000071050000}"/>
    <cellStyle name="RISKleftEdge 7 2" xfId="982" xr:uid="{00000000-0005-0000-0000-000072050000}"/>
    <cellStyle name="RISKleftEdge 7 2 2" xfId="12121" xr:uid="{419C3F21-8612-4AB9-82FF-12F9ABD9E6E6}"/>
    <cellStyle name="RISKleftEdge 7 2 3" xfId="12273" xr:uid="{885D31DB-E861-419D-94B0-F6577AECDE54}"/>
    <cellStyle name="RISKleftEdge 7 3" xfId="12120" xr:uid="{7AA0FB12-6A0D-45A2-9BAA-4A3C7329F5F0}"/>
    <cellStyle name="RISKleftEdge 7 4" xfId="12274" xr:uid="{6710ADEE-4750-4956-BEE8-B988879E00F2}"/>
    <cellStyle name="RISKleftEdge 8" xfId="12114" xr:uid="{8D7C9840-204B-419C-AA2E-21EF66030D58}"/>
    <cellStyle name="RISKleftEdge 9" xfId="12280" xr:uid="{3E5DE538-1F12-42BF-982C-3D0BDAD55A10}"/>
    <cellStyle name="RISKlightBoxed" xfId="983" xr:uid="{00000000-0005-0000-0000-000073050000}"/>
    <cellStyle name="RISKlightBoxed 10" xfId="1785" xr:uid="{00000000-0005-0000-0000-000074050000}"/>
    <cellStyle name="RISKlightBoxed 10 2" xfId="3885" xr:uid="{0ADB84B7-F591-4E7E-A838-D440E1B2C51F}"/>
    <cellStyle name="RISKlightBoxed 10 3" xfId="5189" xr:uid="{93550F48-3B8B-4CFB-BE60-5C4E5B685229}"/>
    <cellStyle name="RISKlightBoxed 10 4" xfId="8383" xr:uid="{17309503-BAD4-4446-B256-B2B0451F746A}"/>
    <cellStyle name="RISKlightBoxed 11" xfId="2039" xr:uid="{00000000-0005-0000-0000-000075050000}"/>
    <cellStyle name="RISKlightBoxed 11 2" xfId="4129" xr:uid="{791C1C4D-DCDA-4C45-AD34-6EC25D62E0FC}"/>
    <cellStyle name="RISKlightBoxed 11 3" xfId="5427" xr:uid="{8D80D67D-31A7-42C3-8261-B4179FACC572}"/>
    <cellStyle name="RISKlightBoxed 11 4" xfId="8619" xr:uid="{42CC7D40-3FE9-424F-A370-4CF60CDC1464}"/>
    <cellStyle name="RISKlightBoxed 12" xfId="2281" xr:uid="{E2B34BA4-3DFD-44D6-A3C1-18FACA0068DA}"/>
    <cellStyle name="RISKlightBoxed 12 2" xfId="5663" xr:uid="{A2AB50DA-195E-4AF6-8C0D-C2B9CF154896}"/>
    <cellStyle name="RISKlightBoxed 12 3" xfId="8855" xr:uid="{BB3A6143-A011-428E-A535-47F06A1DA5B0}"/>
    <cellStyle name="RISKlightBoxed 13" xfId="2517" xr:uid="{C271849A-B9A4-4605-AF76-E43F2071CAD7}"/>
    <cellStyle name="RISKlightBoxed 13 2" xfId="5893" xr:uid="{655F6932-E188-4B7A-9C43-BD5D7522A767}"/>
    <cellStyle name="RISKlightBoxed 13 3" xfId="9085" xr:uid="{EE050ABD-72C6-41C5-AE89-B167BEE9DB7D}"/>
    <cellStyle name="RISKlightBoxed 14" xfId="2756" xr:uid="{F93BC8DB-24F1-410A-9740-2B7916FA4D23}"/>
    <cellStyle name="RISKlightBoxed 14 2" xfId="6126" xr:uid="{81D7D4FB-1F0D-4970-B8BD-70ECAF6CFA9C}"/>
    <cellStyle name="RISKlightBoxed 14 3" xfId="9315" xr:uid="{156ED7C9-4632-471B-BDA0-2F7B3C97AEC1}"/>
    <cellStyle name="RISKlightBoxed 15" xfId="2991" xr:uid="{10D8F3AA-77DD-4087-9A07-90A77BD0A30E}"/>
    <cellStyle name="RISKlightBoxed 15 2" xfId="6359" xr:uid="{6E01E23A-FE77-44F4-BDE3-3334746A3069}"/>
    <cellStyle name="RISKlightBoxed 15 3" xfId="9545" xr:uid="{097B30D3-DEEA-411C-A55C-D3C97B1E6280}"/>
    <cellStyle name="RISKlightBoxed 16" xfId="3203" xr:uid="{B44AE8BB-450B-4AF1-B56D-3EAEC77851C6}"/>
    <cellStyle name="RISKlightBoxed 16 2" xfId="6622" xr:uid="{E4B99172-F59D-4B10-8D68-F638E73B3FE7}"/>
    <cellStyle name="RISKlightBoxed 16 3" xfId="9787" xr:uid="{45B834E1-B72D-487E-86F2-38CED8BA1A0B}"/>
    <cellStyle name="RISKlightBoxed 17" xfId="6884" xr:uid="{34C46B3B-E953-4E1D-BB1D-00E3FC648AAA}"/>
    <cellStyle name="RISKlightBoxed 17 2" xfId="10029" xr:uid="{D17C9D4A-4B0E-4B41-A3C7-02A4B28B4705}"/>
    <cellStyle name="RISKlightBoxed 18" xfId="7163" xr:uid="{EB17A0BA-DCB5-4747-A4B3-85C6B1B0C508}"/>
    <cellStyle name="RISKlightBoxed 18 2" xfId="10302" xr:uid="{512FDAAF-FC46-441A-8B35-704734DB5D73}"/>
    <cellStyle name="RISKlightBoxed 19" xfId="7487" xr:uid="{7128C5AF-3EE1-4A7A-AC7F-418E84FEF45C}"/>
    <cellStyle name="RISKlightBoxed 19 2" xfId="10621" xr:uid="{C1114C2E-E254-4376-AC34-1C33639B0E8D}"/>
    <cellStyle name="RISKlightBoxed 2" xfId="984" xr:uid="{00000000-0005-0000-0000-000076050000}"/>
    <cellStyle name="RISKlightBoxed 2 10" xfId="3204" xr:uid="{5F5CAB4A-BE5E-4F37-88C5-6D453C0B53A8}"/>
    <cellStyle name="RISKlightBoxed 2 10 2" xfId="6623" xr:uid="{3C8EA29A-64AD-431B-8230-3AF86CB1490E}"/>
    <cellStyle name="RISKlightBoxed 2 10 3" xfId="9788" xr:uid="{753D4A4C-DCA1-4081-974C-D725810FAF4E}"/>
    <cellStyle name="RISKlightBoxed 2 11" xfId="6885" xr:uid="{57B3C5CE-657C-4D3B-AC6F-ABEA92650661}"/>
    <cellStyle name="RISKlightBoxed 2 11 2" xfId="10030" xr:uid="{20FCF421-F6F2-4C08-A02B-F3590FB821AA}"/>
    <cellStyle name="RISKlightBoxed 2 12" xfId="7164" xr:uid="{2DD33CA7-B1B3-4A60-85C3-5B41CF5F2346}"/>
    <cellStyle name="RISKlightBoxed 2 12 2" xfId="10303" xr:uid="{3915160A-A566-42E7-9A15-D4301DEEAE7B}"/>
    <cellStyle name="RISKlightBoxed 2 13" xfId="7488" xr:uid="{CEA5A420-8C5E-4C96-89CB-EBCDD0FDA772}"/>
    <cellStyle name="RISKlightBoxed 2 13 2" xfId="10622" xr:uid="{CECA9CC3-21A4-4AA5-84DC-2B8B3AC5CA8D}"/>
    <cellStyle name="RISKlightBoxed 2 14" xfId="7291" xr:uid="{31631DC1-EE1B-4D81-8FA6-47AB85833D53}"/>
    <cellStyle name="RISKlightBoxed 2 14 2" xfId="10429" xr:uid="{738358AE-38F3-424B-AD57-CC00BF7D7425}"/>
    <cellStyle name="RISKlightBoxed 2 15" xfId="4510" xr:uid="{813AB9AA-3EB4-45F8-BC01-02FB8334F7BF}"/>
    <cellStyle name="RISKlightBoxed 2 16" xfId="4321" xr:uid="{4B3E7F3F-6DFC-49F4-8AC6-1BF5C8920FD1}"/>
    <cellStyle name="RISKlightBoxed 2 17" xfId="11012" xr:uid="{DE22186F-D94C-4EB7-BB0E-14768B7F364C}"/>
    <cellStyle name="RISKlightBoxed 2 18" xfId="11428" xr:uid="{431F561D-0A5A-4421-87C2-321F8CF0DC24}"/>
    <cellStyle name="RISKlightBoxed 2 19" xfId="11577" xr:uid="{1711CDD4-E5DB-4B56-A414-496562C2E424}"/>
    <cellStyle name="RISKlightBoxed 2 2" xfId="985" xr:uid="{00000000-0005-0000-0000-000077050000}"/>
    <cellStyle name="RISKlightBoxed 2 2 10" xfId="6886" xr:uid="{F3A0B4FD-5E50-4716-AD6D-FFE24084A57D}"/>
    <cellStyle name="RISKlightBoxed 2 2 10 2" xfId="10031" xr:uid="{A208E420-FD24-4380-A1D0-4967EEE3ABC1}"/>
    <cellStyle name="RISKlightBoxed 2 2 11" xfId="7165" xr:uid="{D3E42D84-889E-4153-8642-62A7C1FCC461}"/>
    <cellStyle name="RISKlightBoxed 2 2 11 2" xfId="10304" xr:uid="{FA30CC55-100C-4193-8315-01C338222378}"/>
    <cellStyle name="RISKlightBoxed 2 2 12" xfId="7489" xr:uid="{D9A32C1B-D766-49EF-A3E7-4307607522EE}"/>
    <cellStyle name="RISKlightBoxed 2 2 12 2" xfId="10623" xr:uid="{23138001-B694-4DED-A317-AA620EE89D0A}"/>
    <cellStyle name="RISKlightBoxed 2 2 13" xfId="7290" xr:uid="{21119DD0-7F78-4E39-AD18-4E2FC5DA92DB}"/>
    <cellStyle name="RISKlightBoxed 2 2 13 2" xfId="10428" xr:uid="{77E7842B-9135-443C-BB2C-0C4870F2CF02}"/>
    <cellStyle name="RISKlightBoxed 2 2 14" xfId="4511" xr:uid="{67151957-E42E-4729-A653-CCD6B7BE557C}"/>
    <cellStyle name="RISKlightBoxed 2 2 15" xfId="4320" xr:uid="{B9521D44-463F-4B34-817D-908F45A880F5}"/>
    <cellStyle name="RISKlightBoxed 2 2 16" xfId="11013" xr:uid="{EEBFAF08-EAE2-484E-BCDE-EAFCE73A7DC8}"/>
    <cellStyle name="RISKlightBoxed 2 2 17" xfId="11429" xr:uid="{28D7238F-8762-4679-8270-AA74316DC3A0}"/>
    <cellStyle name="RISKlightBoxed 2 2 18" xfId="11578" xr:uid="{DFBBF567-E718-4446-80E8-52042941C815}"/>
    <cellStyle name="RISKlightBoxed 2 2 19" xfId="11902" xr:uid="{FD15E953-BC39-4B1B-B947-76533EE0AEEF}"/>
    <cellStyle name="RISKlightBoxed 2 2 2" xfId="1530" xr:uid="{00000000-0005-0000-0000-000078050000}"/>
    <cellStyle name="RISKlightBoxed 2 2 2 2" xfId="3631" xr:uid="{5EE97B17-EE59-45DB-83A4-C00C67C5809C}"/>
    <cellStyle name="RISKlightBoxed 2 2 2 3" xfId="4939" xr:uid="{5081F71B-7FFF-45EE-8592-40ECD146241D}"/>
    <cellStyle name="RISKlightBoxed 2 2 2 4" xfId="8146" xr:uid="{1863FD78-3462-480B-8B54-64E56FF0EC47}"/>
    <cellStyle name="RISKlightBoxed 2 2 20" xfId="12124" xr:uid="{C7060007-A8FC-49F8-BA5E-7FFEC9969A27}"/>
    <cellStyle name="RISKlightBoxed 2 2 21" xfId="12596" xr:uid="{D9751CAE-8027-4734-89B4-DF208C98A3B5}"/>
    <cellStyle name="RISKlightBoxed 2 2 22" xfId="12731" xr:uid="{395AC871-A0CF-4C91-9E53-BFE5AB374B74}"/>
    <cellStyle name="RISKlightBoxed 2 2 23" xfId="12872" xr:uid="{FC8590D5-D127-4854-A670-A4DEF5E165D1}"/>
    <cellStyle name="RISKlightBoxed 2 2 24" xfId="13234" xr:uid="{50746B52-791F-47BC-B848-E91A02DF4199}"/>
    <cellStyle name="RISKlightBoxed 2 2 25" xfId="13036" xr:uid="{E59162E2-3B9E-41E2-8476-6278BF194AB2}"/>
    <cellStyle name="RISKlightBoxed 2 2 3" xfId="1787" xr:uid="{00000000-0005-0000-0000-000079050000}"/>
    <cellStyle name="RISKlightBoxed 2 2 3 2" xfId="3887" xr:uid="{BEEF115F-78A1-4B48-8148-F48F2435C289}"/>
    <cellStyle name="RISKlightBoxed 2 2 3 3" xfId="5191" xr:uid="{CE7278B5-58EE-4D3D-9B81-C640E54789BE}"/>
    <cellStyle name="RISKlightBoxed 2 2 3 4" xfId="8385" xr:uid="{2473FF4A-A636-4D16-994B-70BEFB69E29C}"/>
    <cellStyle name="RISKlightBoxed 2 2 4" xfId="2041" xr:uid="{00000000-0005-0000-0000-00007A050000}"/>
    <cellStyle name="RISKlightBoxed 2 2 4 2" xfId="4131" xr:uid="{BA45E5B8-4A9E-402E-9829-CCEAB99F8FD2}"/>
    <cellStyle name="RISKlightBoxed 2 2 4 3" xfId="5429" xr:uid="{7035E08B-2F19-4B57-AA22-8A385370F670}"/>
    <cellStyle name="RISKlightBoxed 2 2 4 4" xfId="8621" xr:uid="{027809D2-0F10-4F4D-ADE1-157522718370}"/>
    <cellStyle name="RISKlightBoxed 2 2 5" xfId="2283" xr:uid="{5BC81DF8-D447-47F8-AE06-A2BEC2B3FE8C}"/>
    <cellStyle name="RISKlightBoxed 2 2 5 2" xfId="5665" xr:uid="{75EF8F75-57F1-4A63-BB93-07BDDF871098}"/>
    <cellStyle name="RISKlightBoxed 2 2 5 3" xfId="8857" xr:uid="{5466C66F-B919-45AE-A2CB-F6D7D45ED768}"/>
    <cellStyle name="RISKlightBoxed 2 2 6" xfId="2519" xr:uid="{8577792A-2EE4-4CD6-8108-AD09000A9CB5}"/>
    <cellStyle name="RISKlightBoxed 2 2 6 2" xfId="5895" xr:uid="{1CE0B807-2CF6-4288-9563-79B1559B027B}"/>
    <cellStyle name="RISKlightBoxed 2 2 6 3" xfId="9087" xr:uid="{EAF47B99-52A1-4C04-B425-15A542FC7881}"/>
    <cellStyle name="RISKlightBoxed 2 2 7" xfId="2758" xr:uid="{B10AA1D3-637F-4520-BE74-E5B752E6335D}"/>
    <cellStyle name="RISKlightBoxed 2 2 7 2" xfId="6128" xr:uid="{1822DEAB-CA3D-41AB-BF8E-074FB1953791}"/>
    <cellStyle name="RISKlightBoxed 2 2 7 3" xfId="9317" xr:uid="{A2B3FCF1-1178-451B-9299-7AAA6E920339}"/>
    <cellStyle name="RISKlightBoxed 2 2 8" xfId="2993" xr:uid="{E6E04F23-8E4C-4B21-B94E-12F2D181A1D7}"/>
    <cellStyle name="RISKlightBoxed 2 2 8 2" xfId="6361" xr:uid="{863E201D-9665-4E9C-9460-AA0D8985E050}"/>
    <cellStyle name="RISKlightBoxed 2 2 8 3" xfId="9547" xr:uid="{D72D9416-BEDC-44E9-AB51-35A8731724A6}"/>
    <cellStyle name="RISKlightBoxed 2 2 9" xfId="3205" xr:uid="{020DF661-DB9A-470D-90EB-DF2DF33C0B1F}"/>
    <cellStyle name="RISKlightBoxed 2 2 9 2" xfId="6624" xr:uid="{3B0E0697-37CC-4874-BF74-BF4C03810AB1}"/>
    <cellStyle name="RISKlightBoxed 2 2 9 3" xfId="9789" xr:uid="{A1A34599-39E2-427B-AB16-A69A1A6503EE}"/>
    <cellStyle name="RISKlightBoxed 2 20" xfId="11901" xr:uid="{D698B113-CC64-44C8-AD46-05A0FF28AC63}"/>
    <cellStyle name="RISKlightBoxed 2 21" xfId="12123" xr:uid="{D2C7F0D7-4F46-4D88-BB9F-6CA4C3A97E17}"/>
    <cellStyle name="RISKlightBoxed 2 22" xfId="12595" xr:uid="{5F517AF8-F274-45A3-9CAC-5F16D10A4583}"/>
    <cellStyle name="RISKlightBoxed 2 23" xfId="12730" xr:uid="{C1D0A4F1-ACA4-4000-9692-3B7A77FCF81A}"/>
    <cellStyle name="RISKlightBoxed 2 24" xfId="12871" xr:uid="{79FD9289-9021-4D71-8B7D-4FAD3BD8428D}"/>
    <cellStyle name="RISKlightBoxed 2 25" xfId="13233" xr:uid="{DB00EBD7-D1DB-4AE8-9E6E-57E5EC009D8C}"/>
    <cellStyle name="RISKlightBoxed 2 26" xfId="13037" xr:uid="{1EB509AE-D2C2-4DAA-ABEC-7FFB880EA01E}"/>
    <cellStyle name="RISKlightBoxed 2 3" xfId="1529" xr:uid="{00000000-0005-0000-0000-00007B050000}"/>
    <cellStyle name="RISKlightBoxed 2 3 2" xfId="3630" xr:uid="{F3359103-827C-433C-827F-F25C69CCA94B}"/>
    <cellStyle name="RISKlightBoxed 2 3 3" xfId="4938" xr:uid="{2428E20B-8C10-449D-B05D-F062C3AED216}"/>
    <cellStyle name="RISKlightBoxed 2 3 4" xfId="8145" xr:uid="{4512458A-A4DF-40CC-BC65-DCE304CEBA11}"/>
    <cellStyle name="RISKlightBoxed 2 4" xfId="1786" xr:uid="{00000000-0005-0000-0000-00007C050000}"/>
    <cellStyle name="RISKlightBoxed 2 4 2" xfId="3886" xr:uid="{287E171D-0314-45A1-8E78-313C7B3BC2DB}"/>
    <cellStyle name="RISKlightBoxed 2 4 3" xfId="5190" xr:uid="{EEB805B7-673F-4CE1-BE83-D99576590B77}"/>
    <cellStyle name="RISKlightBoxed 2 4 4" xfId="8384" xr:uid="{6AA2126D-2E0E-4CFE-AC39-2C6AEED749C2}"/>
    <cellStyle name="RISKlightBoxed 2 5" xfId="2040" xr:uid="{00000000-0005-0000-0000-00007D050000}"/>
    <cellStyle name="RISKlightBoxed 2 5 2" xfId="4130" xr:uid="{5FC87669-6432-44FC-9989-6907E0ABEBD9}"/>
    <cellStyle name="RISKlightBoxed 2 5 3" xfId="5428" xr:uid="{E99406BA-FB8A-4B5E-9B82-E59B46993C32}"/>
    <cellStyle name="RISKlightBoxed 2 5 4" xfId="8620" xr:uid="{14EFDA4E-F7CD-4B26-83C2-4B480FFB1E36}"/>
    <cellStyle name="RISKlightBoxed 2 6" xfId="2282" xr:uid="{1894349F-77DB-4B55-8C8F-E845EB4C3EEB}"/>
    <cellStyle name="RISKlightBoxed 2 6 2" xfId="5664" xr:uid="{47EAB46C-9F5A-4390-B406-020B18B8E3F3}"/>
    <cellStyle name="RISKlightBoxed 2 6 3" xfId="8856" xr:uid="{70796497-D822-4717-9F59-9E37758AAF41}"/>
    <cellStyle name="RISKlightBoxed 2 7" xfId="2518" xr:uid="{9D1D6AA1-5D9A-4687-8D33-C2F3A385ED51}"/>
    <cellStyle name="RISKlightBoxed 2 7 2" xfId="5894" xr:uid="{0B5D08EB-B42C-4D39-9A6D-10C6DDEACCDB}"/>
    <cellStyle name="RISKlightBoxed 2 7 3" xfId="9086" xr:uid="{08531D6F-E17C-4728-B039-06BF3772BE14}"/>
    <cellStyle name="RISKlightBoxed 2 8" xfId="2757" xr:uid="{80BC211C-D99E-4867-8CBA-2FAF085A05C9}"/>
    <cellStyle name="RISKlightBoxed 2 8 2" xfId="6127" xr:uid="{95DF8BEA-D453-402C-8EEB-529FDD76B2A6}"/>
    <cellStyle name="RISKlightBoxed 2 8 3" xfId="9316" xr:uid="{CB30D95E-6DA2-47E4-BCB2-CB05E467ECF6}"/>
    <cellStyle name="RISKlightBoxed 2 9" xfId="2992" xr:uid="{10E4B6D9-B6FF-4E9A-8091-C007D1010C50}"/>
    <cellStyle name="RISKlightBoxed 2 9 2" xfId="6360" xr:uid="{63DD60D2-52D7-4802-BC10-83F4310EA449}"/>
    <cellStyle name="RISKlightBoxed 2 9 3" xfId="9546" xr:uid="{8904322B-AA96-44FD-AA14-7362D135F7D5}"/>
    <cellStyle name="RISKlightBoxed 20" xfId="7292" xr:uid="{42FE3A45-CDB7-463C-B569-81FE8141E64A}"/>
    <cellStyle name="RISKlightBoxed 20 2" xfId="10430" xr:uid="{F9F34289-219E-4E43-9868-A9152B616508}"/>
    <cellStyle name="RISKlightBoxed 21" xfId="4509" xr:uid="{C7351880-97E2-4CEB-9B3A-F4898AC815B4}"/>
    <cellStyle name="RISKlightBoxed 22" xfId="4322" xr:uid="{D40F7AF4-A517-4A58-86EE-BDEC3462CF61}"/>
    <cellStyle name="RISKlightBoxed 23" xfId="11011" xr:uid="{E042BB30-26D5-4B29-95AC-29849D9AD952}"/>
    <cellStyle name="RISKlightBoxed 24" xfId="11427" xr:uid="{0550C039-3BD6-4DA2-8C6F-476BAC2A0F09}"/>
    <cellStyle name="RISKlightBoxed 25" xfId="11576" xr:uid="{9AF2E690-88D4-4CEF-B34F-47F448D125CE}"/>
    <cellStyle name="RISKlightBoxed 26" xfId="11900" xr:uid="{FED755CC-BDF4-4912-988C-8F6CD0D5987E}"/>
    <cellStyle name="RISKlightBoxed 27" xfId="12122" xr:uid="{0F0519ED-B8D6-483F-9B45-F671E4BAD6FF}"/>
    <cellStyle name="RISKlightBoxed 28" xfId="12594" xr:uid="{EC13DF5B-D22E-48BF-B111-2C80C6F33B8D}"/>
    <cellStyle name="RISKlightBoxed 29" xfId="12729" xr:uid="{7FA026CC-719F-4029-BB18-9919D69A15D8}"/>
    <cellStyle name="RISKlightBoxed 3" xfId="986" xr:uid="{00000000-0005-0000-0000-00007E050000}"/>
    <cellStyle name="RISKlightBoxed 3 10" xfId="3206" xr:uid="{8B1F868F-EEDE-438C-A6D0-41C0D1DFA4E2}"/>
    <cellStyle name="RISKlightBoxed 3 10 2" xfId="6625" xr:uid="{AA9A238C-EA95-4360-9017-1C1868E89F68}"/>
    <cellStyle name="RISKlightBoxed 3 10 3" xfId="9790" xr:uid="{AF5FBB4D-3AFD-4EBB-B439-926C568F41AA}"/>
    <cellStyle name="RISKlightBoxed 3 11" xfId="6887" xr:uid="{CA710A5C-8B72-4D15-8BE9-CF5E56FE7435}"/>
    <cellStyle name="RISKlightBoxed 3 11 2" xfId="10032" xr:uid="{7167EEDD-EE3F-480D-9402-E4FC82B09D19}"/>
    <cellStyle name="RISKlightBoxed 3 12" xfId="7166" xr:uid="{26A6757C-2767-44AA-9D4A-A1F607B2D08D}"/>
    <cellStyle name="RISKlightBoxed 3 12 2" xfId="10305" xr:uid="{6049C235-68DA-42E9-83F4-1BE19AB03B2D}"/>
    <cellStyle name="RISKlightBoxed 3 13" xfId="7490" xr:uid="{88521153-0B40-4BE7-90DF-BCED5421924B}"/>
    <cellStyle name="RISKlightBoxed 3 13 2" xfId="10624" xr:uid="{1F2B3077-36AF-469A-B197-D48A5C7DEE2E}"/>
    <cellStyle name="RISKlightBoxed 3 14" xfId="7289" xr:uid="{BE0B8040-14CA-45BF-93CB-E7278F665A80}"/>
    <cellStyle name="RISKlightBoxed 3 14 2" xfId="10427" xr:uid="{DAA08E27-B166-4399-9AA1-DA8F8258397B}"/>
    <cellStyle name="RISKlightBoxed 3 15" xfId="4512" xr:uid="{D23AAB12-068A-4033-B583-7DF3A5D7E441}"/>
    <cellStyle name="RISKlightBoxed 3 16" xfId="4319" xr:uid="{19747CEC-7F5F-48F6-8AED-CC046230D050}"/>
    <cellStyle name="RISKlightBoxed 3 17" xfId="11014" xr:uid="{24B57EE4-3AC6-42B4-8CD9-8F1232F1926C}"/>
    <cellStyle name="RISKlightBoxed 3 18" xfId="11430" xr:uid="{450955A8-5CD6-4E73-985B-B5DD1B076802}"/>
    <cellStyle name="RISKlightBoxed 3 19" xfId="11579" xr:uid="{C504E22E-AD31-4E73-B739-AA5EC546271B}"/>
    <cellStyle name="RISKlightBoxed 3 2" xfId="987" xr:uid="{00000000-0005-0000-0000-00007F050000}"/>
    <cellStyle name="RISKlightBoxed 3 2 10" xfId="6888" xr:uid="{0576EAB4-7FAF-4E43-861A-69D038D9423B}"/>
    <cellStyle name="RISKlightBoxed 3 2 10 2" xfId="10033" xr:uid="{ADCEEDE3-C14B-459F-B441-2D7694D1A5E6}"/>
    <cellStyle name="RISKlightBoxed 3 2 11" xfId="7167" xr:uid="{668DDF5F-0DDE-48E3-BD37-157AA1FAB3F3}"/>
    <cellStyle name="RISKlightBoxed 3 2 11 2" xfId="10306" xr:uid="{6F39D7DF-F6A8-437A-AE21-673D92998B7F}"/>
    <cellStyle name="RISKlightBoxed 3 2 12" xfId="7491" xr:uid="{408BD55C-9428-4660-B5C1-A97B9C4B6619}"/>
    <cellStyle name="RISKlightBoxed 3 2 12 2" xfId="10625" xr:uid="{00BAC1C7-4C02-4F50-AE67-21FE22B3BCB8}"/>
    <cellStyle name="RISKlightBoxed 3 2 13" xfId="7288" xr:uid="{F5F6BE29-FBAD-4423-84F1-52A0D72193DF}"/>
    <cellStyle name="RISKlightBoxed 3 2 13 2" xfId="10426" xr:uid="{BDE0C2B2-8EF8-48CB-A9E1-4817A4A4C2FC}"/>
    <cellStyle name="RISKlightBoxed 3 2 14" xfId="4513" xr:uid="{5F155FBA-2C0A-4418-99AE-3BD6E1BEA057}"/>
    <cellStyle name="RISKlightBoxed 3 2 15" xfId="4318" xr:uid="{696262F2-7A1B-49B5-87BF-B5810B30F38D}"/>
    <cellStyle name="RISKlightBoxed 3 2 16" xfId="11015" xr:uid="{03393D78-B45C-489C-B714-772067407B4C}"/>
    <cellStyle name="RISKlightBoxed 3 2 17" xfId="11431" xr:uid="{A82B3507-4C50-4D68-8FFA-5D627D9AB7AE}"/>
    <cellStyle name="RISKlightBoxed 3 2 18" xfId="11580" xr:uid="{8892496D-D0AC-4768-AB56-B0A86108386C}"/>
    <cellStyle name="RISKlightBoxed 3 2 19" xfId="11904" xr:uid="{FEC94F80-96E3-4012-8151-1F9AE7507BC3}"/>
    <cellStyle name="RISKlightBoxed 3 2 2" xfId="1532" xr:uid="{00000000-0005-0000-0000-000080050000}"/>
    <cellStyle name="RISKlightBoxed 3 2 2 2" xfId="3633" xr:uid="{FAA5CE75-E793-467B-BD2F-FA53F9EF693F}"/>
    <cellStyle name="RISKlightBoxed 3 2 2 3" xfId="4941" xr:uid="{E501E374-02B8-4921-B90D-28DC7B0E36B9}"/>
    <cellStyle name="RISKlightBoxed 3 2 2 4" xfId="8148" xr:uid="{F155EF15-0728-4CD3-970F-3388BBB03B8E}"/>
    <cellStyle name="RISKlightBoxed 3 2 20" xfId="12126" xr:uid="{58AAFFC8-FFA7-46B0-9D47-3F8A48F23C29}"/>
    <cellStyle name="RISKlightBoxed 3 2 21" xfId="12598" xr:uid="{8256CE77-DD04-43A9-AEDF-DB3510618B5B}"/>
    <cellStyle name="RISKlightBoxed 3 2 22" xfId="12733" xr:uid="{3B4BC196-03C5-4BE4-B6B3-6C641AAFE7DE}"/>
    <cellStyle name="RISKlightBoxed 3 2 23" xfId="12874" xr:uid="{75773D15-2961-45DE-BFE4-A5BCE53E705B}"/>
    <cellStyle name="RISKlightBoxed 3 2 24" xfId="13236" xr:uid="{B8D861C8-DDA5-4131-A8DF-F562468F4DBA}"/>
    <cellStyle name="RISKlightBoxed 3 2 25" xfId="13034" xr:uid="{BB072537-7043-40D6-BE92-50B94B82D605}"/>
    <cellStyle name="RISKlightBoxed 3 2 3" xfId="1789" xr:uid="{00000000-0005-0000-0000-000081050000}"/>
    <cellStyle name="RISKlightBoxed 3 2 3 2" xfId="3889" xr:uid="{06DC987F-ADF0-423E-A848-51FD5A48A486}"/>
    <cellStyle name="RISKlightBoxed 3 2 3 3" xfId="5193" xr:uid="{F07F8907-7569-4B6E-99D0-2EB8BAC788DA}"/>
    <cellStyle name="RISKlightBoxed 3 2 3 4" xfId="8387" xr:uid="{C2BF449D-EEA2-4B32-A8F1-76CCEEFEC2DB}"/>
    <cellStyle name="RISKlightBoxed 3 2 4" xfId="2043" xr:uid="{00000000-0005-0000-0000-000082050000}"/>
    <cellStyle name="RISKlightBoxed 3 2 4 2" xfId="4133" xr:uid="{5AFEA04D-BBBE-4522-9850-634F1ED351EF}"/>
    <cellStyle name="RISKlightBoxed 3 2 4 3" xfId="5431" xr:uid="{796F1927-A6E9-48F1-9040-D34FBA1E3546}"/>
    <cellStyle name="RISKlightBoxed 3 2 4 4" xfId="8623" xr:uid="{8BE4537D-A048-44FA-AF45-D8D7F967207E}"/>
    <cellStyle name="RISKlightBoxed 3 2 5" xfId="2285" xr:uid="{021BBFC0-7FCB-4A72-8783-94FC35AE1C29}"/>
    <cellStyle name="RISKlightBoxed 3 2 5 2" xfId="5667" xr:uid="{C3A22E70-7503-441D-ADCA-B28BB712256A}"/>
    <cellStyle name="RISKlightBoxed 3 2 5 3" xfId="8859" xr:uid="{0DC38905-DD09-4F8A-B5EF-6E06652D890E}"/>
    <cellStyle name="RISKlightBoxed 3 2 6" xfId="2521" xr:uid="{1426BCBC-4032-4C38-826C-F72C0AE55A19}"/>
    <cellStyle name="RISKlightBoxed 3 2 6 2" xfId="5897" xr:uid="{9734B247-2EBF-4BE9-9171-6AA096CDA409}"/>
    <cellStyle name="RISKlightBoxed 3 2 6 3" xfId="9089" xr:uid="{EB5935BF-7D3C-456A-8609-EBA50726191E}"/>
    <cellStyle name="RISKlightBoxed 3 2 7" xfId="2760" xr:uid="{0422B984-5C89-4DA1-89DF-1A181E25C41D}"/>
    <cellStyle name="RISKlightBoxed 3 2 7 2" xfId="6130" xr:uid="{78CC8767-2C68-4D62-B168-57F842D831B4}"/>
    <cellStyle name="RISKlightBoxed 3 2 7 3" xfId="9319" xr:uid="{841CE6FE-E272-41A5-B6C9-1F3EB7FAC21B}"/>
    <cellStyle name="RISKlightBoxed 3 2 8" xfId="2995" xr:uid="{D86A2E3F-BB70-4C8F-B574-6008C88B780E}"/>
    <cellStyle name="RISKlightBoxed 3 2 8 2" xfId="6363" xr:uid="{3EC98FA4-33BF-4245-AF83-F6F7A08265E6}"/>
    <cellStyle name="RISKlightBoxed 3 2 8 3" xfId="9549" xr:uid="{C131C910-9EA1-4D21-9660-46B8CEAF04D9}"/>
    <cellStyle name="RISKlightBoxed 3 2 9" xfId="3207" xr:uid="{F5F2845A-6389-412B-904E-FAC540CF4D49}"/>
    <cellStyle name="RISKlightBoxed 3 2 9 2" xfId="6626" xr:uid="{DA86FBDC-9AC4-44B3-B50A-38C318643D08}"/>
    <cellStyle name="RISKlightBoxed 3 2 9 3" xfId="9791" xr:uid="{998702DA-2978-41AD-A65C-55C18605EDC4}"/>
    <cellStyle name="RISKlightBoxed 3 20" xfId="11903" xr:uid="{6519FDEA-D9FB-442E-919B-A1DD69FFC91C}"/>
    <cellStyle name="RISKlightBoxed 3 21" xfId="12125" xr:uid="{DC95C7A4-07F8-4B0B-BEEE-EBB14523307F}"/>
    <cellStyle name="RISKlightBoxed 3 22" xfId="12597" xr:uid="{07C780DA-6D68-4C4E-BD85-E41DF8F349FB}"/>
    <cellStyle name="RISKlightBoxed 3 23" xfId="12732" xr:uid="{5AE5A1F8-A9BE-457D-BB35-B5CEF7853A1C}"/>
    <cellStyle name="RISKlightBoxed 3 24" xfId="12873" xr:uid="{310AAF2B-6D9B-44E0-8E07-28376BB6148E}"/>
    <cellStyle name="RISKlightBoxed 3 25" xfId="13235" xr:uid="{108E32B9-F07B-4A95-8B9D-D0D5BC9E57CC}"/>
    <cellStyle name="RISKlightBoxed 3 26" xfId="13035" xr:uid="{82BE8047-37C6-4991-A818-1CC2645268CA}"/>
    <cellStyle name="RISKlightBoxed 3 3" xfId="1531" xr:uid="{00000000-0005-0000-0000-000083050000}"/>
    <cellStyle name="RISKlightBoxed 3 3 2" xfId="3632" xr:uid="{86FA0DA7-1E60-4B31-9C94-12EA5218D6B3}"/>
    <cellStyle name="RISKlightBoxed 3 3 3" xfId="4940" xr:uid="{48FAC8E3-D269-4CF0-8801-C9F582BED413}"/>
    <cellStyle name="RISKlightBoxed 3 3 4" xfId="8147" xr:uid="{96B1B2D4-EB65-4598-AD7F-3647EAB42CAA}"/>
    <cellStyle name="RISKlightBoxed 3 4" xfId="1788" xr:uid="{00000000-0005-0000-0000-000084050000}"/>
    <cellStyle name="RISKlightBoxed 3 4 2" xfId="3888" xr:uid="{D26825D2-C0D6-4E0B-9A45-800D786ABA57}"/>
    <cellStyle name="RISKlightBoxed 3 4 3" xfId="5192" xr:uid="{66A0FA37-D954-430D-89CB-2D8C12376F42}"/>
    <cellStyle name="RISKlightBoxed 3 4 4" xfId="8386" xr:uid="{7A338D5C-F452-4255-9E66-3BF87115F265}"/>
    <cellStyle name="RISKlightBoxed 3 5" xfId="2042" xr:uid="{00000000-0005-0000-0000-000085050000}"/>
    <cellStyle name="RISKlightBoxed 3 5 2" xfId="4132" xr:uid="{5ACCDB7C-1D2D-40C5-B1AD-483BABEDC0D9}"/>
    <cellStyle name="RISKlightBoxed 3 5 3" xfId="5430" xr:uid="{FAF7DA13-B86E-4F9F-A824-832280B1026A}"/>
    <cellStyle name="RISKlightBoxed 3 5 4" xfId="8622" xr:uid="{CC884647-A891-4A0C-84AA-42322A701407}"/>
    <cellStyle name="RISKlightBoxed 3 6" xfId="2284" xr:uid="{CF803497-04BA-48FB-82E1-79181B6774D1}"/>
    <cellStyle name="RISKlightBoxed 3 6 2" xfId="5666" xr:uid="{F06ED06D-E116-4904-B794-2DD5A405C614}"/>
    <cellStyle name="RISKlightBoxed 3 6 3" xfId="8858" xr:uid="{B6720E7A-E79E-455C-969D-3E8F2EE765C2}"/>
    <cellStyle name="RISKlightBoxed 3 7" xfId="2520" xr:uid="{323453F8-00BE-4BD1-AA70-8057CA205DFA}"/>
    <cellStyle name="RISKlightBoxed 3 7 2" xfId="5896" xr:uid="{504CBC45-02A6-4289-B614-3F821DABD11A}"/>
    <cellStyle name="RISKlightBoxed 3 7 3" xfId="9088" xr:uid="{8058FD57-B86B-44E4-B7B9-24E68A0446D8}"/>
    <cellStyle name="RISKlightBoxed 3 8" xfId="2759" xr:uid="{ECFBF2E4-0A09-4885-91ED-ABB02C9B1DF0}"/>
    <cellStyle name="RISKlightBoxed 3 8 2" xfId="6129" xr:uid="{4048A778-E37D-435F-BB15-F19A884F799E}"/>
    <cellStyle name="RISKlightBoxed 3 8 3" xfId="9318" xr:uid="{B7AAFCC8-560B-4822-9FCE-EDBCB5CBB37F}"/>
    <cellStyle name="RISKlightBoxed 3 9" xfId="2994" xr:uid="{65FD00C6-9FA7-4808-9954-AD4A6775A77F}"/>
    <cellStyle name="RISKlightBoxed 3 9 2" xfId="6362" xr:uid="{33D7F7C1-814A-4D91-94C8-4D912C3B76EB}"/>
    <cellStyle name="RISKlightBoxed 3 9 3" xfId="9548" xr:uid="{7966ED4A-E8E1-4FA4-9C98-3FB925A8B924}"/>
    <cellStyle name="RISKlightBoxed 30" xfId="12870" xr:uid="{F9CE4408-A93E-45A7-88ED-890C22ED9A89}"/>
    <cellStyle name="RISKlightBoxed 31" xfId="13232" xr:uid="{333A0344-A559-478D-97C1-92B20E0CCFE7}"/>
    <cellStyle name="RISKlightBoxed 32" xfId="13038" xr:uid="{0EEA04B5-3B6D-4320-8C74-270145CC8F77}"/>
    <cellStyle name="RISKlightBoxed 4" xfId="988" xr:uid="{00000000-0005-0000-0000-000086050000}"/>
    <cellStyle name="RISKlightBoxed 4 10" xfId="3208" xr:uid="{DB977CE0-3B00-4662-B22B-D58E8CE1BAC2}"/>
    <cellStyle name="RISKlightBoxed 4 10 2" xfId="6627" xr:uid="{227DA552-081E-4349-822B-F88D016384AF}"/>
    <cellStyle name="RISKlightBoxed 4 10 3" xfId="9792" xr:uid="{83011B2D-C391-4C44-9755-A5E50C2448BF}"/>
    <cellStyle name="RISKlightBoxed 4 11" xfId="6889" xr:uid="{DC8B98AE-6D8A-4961-9CF3-CD58F38EBF6B}"/>
    <cellStyle name="RISKlightBoxed 4 11 2" xfId="10034" xr:uid="{03F3049F-41B1-4F54-A2D5-390EF5A5FE2A}"/>
    <cellStyle name="RISKlightBoxed 4 12" xfId="7168" xr:uid="{075619CA-B319-4921-AE0A-2BCAA7FC78FD}"/>
    <cellStyle name="RISKlightBoxed 4 12 2" xfId="10307" xr:uid="{E28B8806-CDD2-437A-8524-9D93753FFEC9}"/>
    <cellStyle name="RISKlightBoxed 4 13" xfId="7492" xr:uid="{1D50F804-E925-4DD7-B054-5EFEC616CFE4}"/>
    <cellStyle name="RISKlightBoxed 4 13 2" xfId="10626" xr:uid="{C2340D10-09EB-48A6-99B4-52EA08E91A8F}"/>
    <cellStyle name="RISKlightBoxed 4 14" xfId="7287" xr:uid="{07C5D6A6-B948-46E4-B71C-93C68868D4BD}"/>
    <cellStyle name="RISKlightBoxed 4 14 2" xfId="10425" xr:uid="{4A87D253-63D8-4B12-97B8-57B09647041D}"/>
    <cellStyle name="RISKlightBoxed 4 15" xfId="4514" xr:uid="{7E5C0576-760A-47D6-82E9-93FF0C64DE18}"/>
    <cellStyle name="RISKlightBoxed 4 16" xfId="4317" xr:uid="{8C2C0CD6-07A7-4130-AD5C-C77E49FA9025}"/>
    <cellStyle name="RISKlightBoxed 4 17" xfId="11016" xr:uid="{D5DF81B6-CDA9-4F8E-83A6-4FDD6BD88CE7}"/>
    <cellStyle name="RISKlightBoxed 4 18" xfId="11432" xr:uid="{7A97066A-4164-4D3C-B299-4B19F7918DE6}"/>
    <cellStyle name="RISKlightBoxed 4 19" xfId="11581" xr:uid="{E252B4CD-C14F-43EE-9F72-AC0377608F19}"/>
    <cellStyle name="RISKlightBoxed 4 2" xfId="989" xr:uid="{00000000-0005-0000-0000-000087050000}"/>
    <cellStyle name="RISKlightBoxed 4 2 10" xfId="6890" xr:uid="{20564AD4-D8EA-4808-84F4-09488CA931DB}"/>
    <cellStyle name="RISKlightBoxed 4 2 10 2" xfId="10035" xr:uid="{1532603B-DA81-498F-9A10-E54576C58F2A}"/>
    <cellStyle name="RISKlightBoxed 4 2 11" xfId="7169" xr:uid="{2F21FEC7-7093-4BD7-9B8C-6AFFE186E6F9}"/>
    <cellStyle name="RISKlightBoxed 4 2 11 2" xfId="10308" xr:uid="{D0AC9DCA-4D33-4701-B70C-54B3BFA94E81}"/>
    <cellStyle name="RISKlightBoxed 4 2 12" xfId="7493" xr:uid="{84496C6C-1B09-4E07-9980-8DC3F7905B3D}"/>
    <cellStyle name="RISKlightBoxed 4 2 12 2" xfId="10627" xr:uid="{B92659A8-B926-4127-84E2-F71B11C37C06}"/>
    <cellStyle name="RISKlightBoxed 4 2 13" xfId="7286" xr:uid="{09957FEA-7140-474B-9984-09885E3885AA}"/>
    <cellStyle name="RISKlightBoxed 4 2 13 2" xfId="10424" xr:uid="{9C6C36E4-6A28-4804-8949-D281C0BB79A7}"/>
    <cellStyle name="RISKlightBoxed 4 2 14" xfId="4515" xr:uid="{716BA7A6-89A0-4CE1-8A86-CD87812C587D}"/>
    <cellStyle name="RISKlightBoxed 4 2 15" xfId="4316" xr:uid="{F04F8EEB-AF51-42D5-8023-07C147865DE1}"/>
    <cellStyle name="RISKlightBoxed 4 2 16" xfId="11017" xr:uid="{CA77AAC5-1C76-478C-B1AF-D3FAE5349485}"/>
    <cellStyle name="RISKlightBoxed 4 2 17" xfId="11433" xr:uid="{4C9F99E7-DFC3-49BB-A155-2EE224EA78C1}"/>
    <cellStyle name="RISKlightBoxed 4 2 18" xfId="11582" xr:uid="{A0E89F33-CFC7-489E-93C0-623A977B639C}"/>
    <cellStyle name="RISKlightBoxed 4 2 19" xfId="11906" xr:uid="{6A60272A-4788-4974-9402-3CF74E10A9E5}"/>
    <cellStyle name="RISKlightBoxed 4 2 2" xfId="1534" xr:uid="{00000000-0005-0000-0000-000088050000}"/>
    <cellStyle name="RISKlightBoxed 4 2 2 2" xfId="3635" xr:uid="{251E1E2F-E8D2-43E6-8BEB-411A4590BC3E}"/>
    <cellStyle name="RISKlightBoxed 4 2 2 3" xfId="4943" xr:uid="{A5DAA953-A79B-48B4-9225-3FF6EE43AFBF}"/>
    <cellStyle name="RISKlightBoxed 4 2 2 4" xfId="8150" xr:uid="{30ABD191-A5BF-4751-9BBC-5EB98463B292}"/>
    <cellStyle name="RISKlightBoxed 4 2 20" xfId="12128" xr:uid="{9E345339-1F1F-4CCC-B9FF-7163228DA2E0}"/>
    <cellStyle name="RISKlightBoxed 4 2 21" xfId="12600" xr:uid="{77872AC5-1C56-4F47-9021-066F61FD5A75}"/>
    <cellStyle name="RISKlightBoxed 4 2 22" xfId="12735" xr:uid="{CB1A99DA-79FA-4480-BEA1-97156A798D72}"/>
    <cellStyle name="RISKlightBoxed 4 2 23" xfId="12876" xr:uid="{BDC53638-146F-41E9-8F63-C047AE4D4865}"/>
    <cellStyle name="RISKlightBoxed 4 2 24" xfId="13238" xr:uid="{772F22AC-C25E-4ADF-AD91-785D74FFAA9E}"/>
    <cellStyle name="RISKlightBoxed 4 2 25" xfId="13032" xr:uid="{EFE72F51-0AD1-4C32-8AB8-4EBC7034DA98}"/>
    <cellStyle name="RISKlightBoxed 4 2 3" xfId="1791" xr:uid="{00000000-0005-0000-0000-000089050000}"/>
    <cellStyle name="RISKlightBoxed 4 2 3 2" xfId="3891" xr:uid="{43C4689D-BFC9-479C-A5FA-D3C9C355C22F}"/>
    <cellStyle name="RISKlightBoxed 4 2 3 3" xfId="5195" xr:uid="{D154B7CD-E88A-4BCB-9222-54F2D319BF30}"/>
    <cellStyle name="RISKlightBoxed 4 2 3 4" xfId="8389" xr:uid="{186D18C1-23F5-464C-8847-A3B542A215D0}"/>
    <cellStyle name="RISKlightBoxed 4 2 4" xfId="2045" xr:uid="{00000000-0005-0000-0000-00008A050000}"/>
    <cellStyle name="RISKlightBoxed 4 2 4 2" xfId="4135" xr:uid="{7D0B5A52-5482-4D1D-9CB6-B8D256D70532}"/>
    <cellStyle name="RISKlightBoxed 4 2 4 3" xfId="5433" xr:uid="{E24F1E55-C908-4CDF-AB81-015812A110DA}"/>
    <cellStyle name="RISKlightBoxed 4 2 4 4" xfId="8625" xr:uid="{942471A5-47D6-4953-9F5A-44647CEFFD9C}"/>
    <cellStyle name="RISKlightBoxed 4 2 5" xfId="2287" xr:uid="{3D2631F9-861A-4BDE-BC33-E60CE4DBE8F1}"/>
    <cellStyle name="RISKlightBoxed 4 2 5 2" xfId="5669" xr:uid="{863D393C-73A3-4B46-977D-B2D377A0CA0B}"/>
    <cellStyle name="RISKlightBoxed 4 2 5 3" xfId="8861" xr:uid="{AD9A8858-C637-4B3B-A22C-9E72B70B8A12}"/>
    <cellStyle name="RISKlightBoxed 4 2 6" xfId="2523" xr:uid="{E618D2D4-16D8-4F5C-987B-A06A2F3CEB33}"/>
    <cellStyle name="RISKlightBoxed 4 2 6 2" xfId="5899" xr:uid="{52A35C60-F656-4122-9D0E-749403F4D8E2}"/>
    <cellStyle name="RISKlightBoxed 4 2 6 3" xfId="9091" xr:uid="{C41C9F36-6579-44D2-83FE-D6D7B75B163F}"/>
    <cellStyle name="RISKlightBoxed 4 2 7" xfId="2762" xr:uid="{F1A9DB1D-484E-4605-9201-641536B07FBA}"/>
    <cellStyle name="RISKlightBoxed 4 2 7 2" xfId="6132" xr:uid="{D1AC8561-3E97-4250-9048-939CF4895B4D}"/>
    <cellStyle name="RISKlightBoxed 4 2 7 3" xfId="9321" xr:uid="{DB681CCF-ACE8-4348-95CE-EE173D97425C}"/>
    <cellStyle name="RISKlightBoxed 4 2 8" xfId="2997" xr:uid="{F8BA99AB-0256-41A6-BFF4-783C4E1B9C49}"/>
    <cellStyle name="RISKlightBoxed 4 2 8 2" xfId="6365" xr:uid="{5D0A35AA-83F7-4D99-8FCC-A84C22C387AF}"/>
    <cellStyle name="RISKlightBoxed 4 2 8 3" xfId="9551" xr:uid="{05CD8194-5D5F-4DD2-AF3C-8368722BC3FA}"/>
    <cellStyle name="RISKlightBoxed 4 2 9" xfId="3209" xr:uid="{2C855FF3-EDF0-4978-9702-E203CECF5DC1}"/>
    <cellStyle name="RISKlightBoxed 4 2 9 2" xfId="6628" xr:uid="{92F84979-3A0D-43EE-875A-14F62B0359B1}"/>
    <cellStyle name="RISKlightBoxed 4 2 9 3" xfId="9793" xr:uid="{56063566-1DC9-46EC-AF03-9831E17A47B5}"/>
    <cellStyle name="RISKlightBoxed 4 20" xfId="11905" xr:uid="{EB65A912-B5E0-4433-88D7-551BDA5FC6D5}"/>
    <cellStyle name="RISKlightBoxed 4 21" xfId="12127" xr:uid="{1984EAAF-4FB7-4F49-8EFF-B8A875468132}"/>
    <cellStyle name="RISKlightBoxed 4 22" xfId="12599" xr:uid="{8F4AF343-7D19-457C-B383-0441E76415E4}"/>
    <cellStyle name="RISKlightBoxed 4 23" xfId="12734" xr:uid="{00E1FE9E-FF23-49EE-B8E8-E2E1D3DB8955}"/>
    <cellStyle name="RISKlightBoxed 4 24" xfId="12875" xr:uid="{9F8A1F61-8CF6-42C8-BB30-55A1436D20AA}"/>
    <cellStyle name="RISKlightBoxed 4 25" xfId="13237" xr:uid="{AC983B44-7AE3-4903-9533-433A5B1894E7}"/>
    <cellStyle name="RISKlightBoxed 4 26" xfId="13033" xr:uid="{38C95209-0EBC-4D79-9412-CEA596ED5270}"/>
    <cellStyle name="RISKlightBoxed 4 3" xfId="1533" xr:uid="{00000000-0005-0000-0000-00008B050000}"/>
    <cellStyle name="RISKlightBoxed 4 3 2" xfId="3634" xr:uid="{E6A26381-A49A-40D4-9C25-69BF755B933A}"/>
    <cellStyle name="RISKlightBoxed 4 3 3" xfId="4942" xr:uid="{213A6EA4-6361-421F-B2CD-06616050260E}"/>
    <cellStyle name="RISKlightBoxed 4 3 4" xfId="8149" xr:uid="{F4E7FD27-4D39-45C8-91F8-3CEA896D40E3}"/>
    <cellStyle name="RISKlightBoxed 4 4" xfId="1790" xr:uid="{00000000-0005-0000-0000-00008C050000}"/>
    <cellStyle name="RISKlightBoxed 4 4 2" xfId="3890" xr:uid="{00E91A78-B2B3-4DAC-8E54-ED3DFC48E320}"/>
    <cellStyle name="RISKlightBoxed 4 4 3" xfId="5194" xr:uid="{9ACEC447-2C15-4824-8635-500598FE6D42}"/>
    <cellStyle name="RISKlightBoxed 4 4 4" xfId="8388" xr:uid="{369147B6-3028-4C6D-B5F4-918DA81597AE}"/>
    <cellStyle name="RISKlightBoxed 4 5" xfId="2044" xr:uid="{00000000-0005-0000-0000-00008D050000}"/>
    <cellStyle name="RISKlightBoxed 4 5 2" xfId="4134" xr:uid="{40A6FFFA-441A-4C8C-AB72-77A4E288815A}"/>
    <cellStyle name="RISKlightBoxed 4 5 3" xfId="5432" xr:uid="{05F88EBF-9E02-4BA8-80FC-7BA19AF8EA7E}"/>
    <cellStyle name="RISKlightBoxed 4 5 4" xfId="8624" xr:uid="{D3E54AD1-986D-4E99-8850-CBCAF3F3A466}"/>
    <cellStyle name="RISKlightBoxed 4 6" xfId="2286" xr:uid="{88B29FE3-5889-4AA6-A6B3-C281AA97F124}"/>
    <cellStyle name="RISKlightBoxed 4 6 2" xfId="5668" xr:uid="{C9E9D879-9150-4F2A-BE7E-DDE5B1D137CD}"/>
    <cellStyle name="RISKlightBoxed 4 6 3" xfId="8860" xr:uid="{AC6211A0-D7E3-4465-B880-E2EC00F7B731}"/>
    <cellStyle name="RISKlightBoxed 4 7" xfId="2522" xr:uid="{2386411E-8665-40CD-BE3D-52B37E4750D9}"/>
    <cellStyle name="RISKlightBoxed 4 7 2" xfId="5898" xr:uid="{0284ED52-848E-4876-B75C-352F581000F2}"/>
    <cellStyle name="RISKlightBoxed 4 7 3" xfId="9090" xr:uid="{855DBF09-AA9A-499D-A4C3-233792BFB264}"/>
    <cellStyle name="RISKlightBoxed 4 8" xfId="2761" xr:uid="{A86ECC70-1C2B-43EB-B3FE-76ED29FD98A8}"/>
    <cellStyle name="RISKlightBoxed 4 8 2" xfId="6131" xr:uid="{DC0DCF58-9FBE-4D4A-AB07-8382C13CA510}"/>
    <cellStyle name="RISKlightBoxed 4 8 3" xfId="9320" xr:uid="{B56ED745-0CC5-45CE-9410-9E23B1485F15}"/>
    <cellStyle name="RISKlightBoxed 4 9" xfId="2996" xr:uid="{7B586E04-778E-4AAF-9FE7-3D7F94495FA7}"/>
    <cellStyle name="RISKlightBoxed 4 9 2" xfId="6364" xr:uid="{DB9D1CC8-5425-41D6-875C-6785C91EEA0E}"/>
    <cellStyle name="RISKlightBoxed 4 9 3" xfId="9550" xr:uid="{57C539ED-20BE-46C9-8680-CBF479031F0E}"/>
    <cellStyle name="RISKlightBoxed 5" xfId="990" xr:uid="{00000000-0005-0000-0000-00008E050000}"/>
    <cellStyle name="RISKlightBoxed 5 10" xfId="3210" xr:uid="{78620177-E21F-477C-B988-17720B9BDD9D}"/>
    <cellStyle name="RISKlightBoxed 5 10 2" xfId="6629" xr:uid="{F660CF0F-F1FE-4784-BE67-3FCF3FB09185}"/>
    <cellStyle name="RISKlightBoxed 5 10 3" xfId="9794" xr:uid="{0D077853-6C63-402F-9B79-B69D41EA2C42}"/>
    <cellStyle name="RISKlightBoxed 5 11" xfId="6891" xr:uid="{6526E877-DF4F-4EC3-8D57-2C2F8631E088}"/>
    <cellStyle name="RISKlightBoxed 5 11 2" xfId="10036" xr:uid="{93EC02E1-FE0A-4791-9C5A-A957F0BE03E9}"/>
    <cellStyle name="RISKlightBoxed 5 12" xfId="7170" xr:uid="{92A9FDDC-299E-43DB-84E9-19D21D40BB24}"/>
    <cellStyle name="RISKlightBoxed 5 12 2" xfId="10309" xr:uid="{8E1BDDC3-C19C-4269-B622-8BD4C4C957CC}"/>
    <cellStyle name="RISKlightBoxed 5 13" xfId="7494" xr:uid="{B431006C-0911-4990-9A5C-9FC38FFD23AE}"/>
    <cellStyle name="RISKlightBoxed 5 13 2" xfId="10628" xr:uid="{2E97A7A4-A477-4FD2-8F87-85E009743548}"/>
    <cellStyle name="RISKlightBoxed 5 14" xfId="7285" xr:uid="{512ED5B8-D6B2-4D16-8875-D479C53DFBD7}"/>
    <cellStyle name="RISKlightBoxed 5 14 2" xfId="10423" xr:uid="{3068C541-3EA6-4053-9A5C-92E4CF3A8BCB}"/>
    <cellStyle name="RISKlightBoxed 5 15" xfId="4516" xr:uid="{AA6670E3-2EEB-4338-8273-E30AF6633424}"/>
    <cellStyle name="RISKlightBoxed 5 16" xfId="4315" xr:uid="{057724A1-0450-480B-8CA8-DD4BEC7DFF62}"/>
    <cellStyle name="RISKlightBoxed 5 17" xfId="11018" xr:uid="{35C7DE6B-EB4E-4932-978E-5A627DC3651C}"/>
    <cellStyle name="RISKlightBoxed 5 18" xfId="11434" xr:uid="{0CE3A8C7-649F-455B-9384-99955FEF9B64}"/>
    <cellStyle name="RISKlightBoxed 5 19" xfId="11583" xr:uid="{FA25E34B-2C44-4CCF-BDC3-C0760ED27E16}"/>
    <cellStyle name="RISKlightBoxed 5 2" xfId="991" xr:uid="{00000000-0005-0000-0000-00008F050000}"/>
    <cellStyle name="RISKlightBoxed 5 2 10" xfId="6892" xr:uid="{3F6F5F5D-E00A-4E74-96C5-63C8AA6438AC}"/>
    <cellStyle name="RISKlightBoxed 5 2 10 2" xfId="10037" xr:uid="{6BCEB792-6DF3-4A2F-98EE-63F10CE906B3}"/>
    <cellStyle name="RISKlightBoxed 5 2 11" xfId="7171" xr:uid="{BBFA7393-CD93-4F94-8458-DA0F2D1D057C}"/>
    <cellStyle name="RISKlightBoxed 5 2 11 2" xfId="10310" xr:uid="{8817895D-78B9-4987-913B-F5887F3B445B}"/>
    <cellStyle name="RISKlightBoxed 5 2 12" xfId="7495" xr:uid="{B360E132-997C-4BEF-ACC6-35C14BA8A5AD}"/>
    <cellStyle name="RISKlightBoxed 5 2 12 2" xfId="10629" xr:uid="{8816F66E-4063-4613-A957-B9183544B567}"/>
    <cellStyle name="RISKlightBoxed 5 2 13" xfId="7284" xr:uid="{DA24BDE1-723D-4CE7-A41B-B6CFFB8509E3}"/>
    <cellStyle name="RISKlightBoxed 5 2 13 2" xfId="10422" xr:uid="{A7E674F5-F6E4-446E-8860-929EB7A94D78}"/>
    <cellStyle name="RISKlightBoxed 5 2 14" xfId="4517" xr:uid="{6135921D-C213-4059-A75D-2EBA428B1F90}"/>
    <cellStyle name="RISKlightBoxed 5 2 15" xfId="4314" xr:uid="{BB6A0D53-8509-4B50-85D8-7C1332981EA0}"/>
    <cellStyle name="RISKlightBoxed 5 2 16" xfId="11019" xr:uid="{7AE0DEA7-5E46-4DCD-8F91-AAD266ADB793}"/>
    <cellStyle name="RISKlightBoxed 5 2 17" xfId="11435" xr:uid="{C9BD629A-6CB2-46F0-A0FF-5E442934F9E5}"/>
    <cellStyle name="RISKlightBoxed 5 2 18" xfId="11584" xr:uid="{90E82604-90C5-4D5F-B683-40742F224A58}"/>
    <cellStyle name="RISKlightBoxed 5 2 19" xfId="11908" xr:uid="{7801350A-9517-419F-85C6-941767680A10}"/>
    <cellStyle name="RISKlightBoxed 5 2 2" xfId="1536" xr:uid="{00000000-0005-0000-0000-000090050000}"/>
    <cellStyle name="RISKlightBoxed 5 2 2 2" xfId="3637" xr:uid="{D775F6C0-183B-4B13-BBCE-465D582F4BF2}"/>
    <cellStyle name="RISKlightBoxed 5 2 2 3" xfId="4945" xr:uid="{0DB73F1D-8664-4720-8368-F84D293D867A}"/>
    <cellStyle name="RISKlightBoxed 5 2 2 4" xfId="8152" xr:uid="{5B856043-7DC5-4FE1-966D-AD0D518D19AB}"/>
    <cellStyle name="RISKlightBoxed 5 2 20" xfId="12130" xr:uid="{C63ECC77-378F-480B-BAA4-10A2D627A52E}"/>
    <cellStyle name="RISKlightBoxed 5 2 21" xfId="12602" xr:uid="{3FCFE6A5-20E5-486C-AC21-B2FC2F3248FA}"/>
    <cellStyle name="RISKlightBoxed 5 2 22" xfId="12737" xr:uid="{4E09E925-C14D-4F22-937A-703961C7FD03}"/>
    <cellStyle name="RISKlightBoxed 5 2 23" xfId="12878" xr:uid="{8D963EC0-2663-4CCB-9B6D-131FB6AC729A}"/>
    <cellStyle name="RISKlightBoxed 5 2 24" xfId="13240" xr:uid="{78F7834F-9C72-43FB-8A57-A0262E518D03}"/>
    <cellStyle name="RISKlightBoxed 5 2 25" xfId="13030" xr:uid="{512EDF58-ECFA-42A3-B9C0-0DED6C83E7DB}"/>
    <cellStyle name="RISKlightBoxed 5 2 3" xfId="1793" xr:uid="{00000000-0005-0000-0000-000091050000}"/>
    <cellStyle name="RISKlightBoxed 5 2 3 2" xfId="3893" xr:uid="{6C33957A-186B-4325-BCCD-48C2BDE8D3AD}"/>
    <cellStyle name="RISKlightBoxed 5 2 3 3" xfId="5197" xr:uid="{0493C316-4779-4E41-94E1-2C5AF0663A3C}"/>
    <cellStyle name="RISKlightBoxed 5 2 3 4" xfId="8391" xr:uid="{7C7342D0-ED49-4F2C-8A7B-5EB23B14589F}"/>
    <cellStyle name="RISKlightBoxed 5 2 4" xfId="2047" xr:uid="{00000000-0005-0000-0000-000092050000}"/>
    <cellStyle name="RISKlightBoxed 5 2 4 2" xfId="4137" xr:uid="{7B26AB41-8ED2-4607-9999-667BFE366381}"/>
    <cellStyle name="RISKlightBoxed 5 2 4 3" xfId="5435" xr:uid="{50EB1CD3-5FBD-43C1-A392-AF88DB0CAB11}"/>
    <cellStyle name="RISKlightBoxed 5 2 4 4" xfId="8627" xr:uid="{96AC3D34-A610-4C49-A7D6-4DAF072CC457}"/>
    <cellStyle name="RISKlightBoxed 5 2 5" xfId="2289" xr:uid="{75F405DF-3117-48FB-B446-DA6C02FCB751}"/>
    <cellStyle name="RISKlightBoxed 5 2 5 2" xfId="5671" xr:uid="{202C2D47-A9B9-48B4-9CB4-39561A065747}"/>
    <cellStyle name="RISKlightBoxed 5 2 5 3" xfId="8863" xr:uid="{F6766E2A-B40C-445B-83B5-D0855DE59AD7}"/>
    <cellStyle name="RISKlightBoxed 5 2 6" xfId="2525" xr:uid="{EB11753D-9734-44A8-AFCC-FCB5FB81BD3A}"/>
    <cellStyle name="RISKlightBoxed 5 2 6 2" xfId="5901" xr:uid="{80FBED09-049C-4D07-8D90-B2338D9D56A4}"/>
    <cellStyle name="RISKlightBoxed 5 2 6 3" xfId="9093" xr:uid="{1D9925AA-1D73-4966-ADC6-D4D9BF252713}"/>
    <cellStyle name="RISKlightBoxed 5 2 7" xfId="2764" xr:uid="{54F87DFD-EE6F-4708-8EE6-AC2E0471432B}"/>
    <cellStyle name="RISKlightBoxed 5 2 7 2" xfId="6134" xr:uid="{AD56EFF2-97B9-4359-8039-40F3EBBA936C}"/>
    <cellStyle name="RISKlightBoxed 5 2 7 3" xfId="9323" xr:uid="{662D6742-C731-4257-AA5A-CF75A87EE2CF}"/>
    <cellStyle name="RISKlightBoxed 5 2 8" xfId="2999" xr:uid="{68C77AF6-194A-449A-BDA9-0A0B4E2AEB2F}"/>
    <cellStyle name="RISKlightBoxed 5 2 8 2" xfId="6367" xr:uid="{44714099-CDAD-4F8B-BC13-3E1D55C4C91B}"/>
    <cellStyle name="RISKlightBoxed 5 2 8 3" xfId="9553" xr:uid="{67AB2C29-02A8-468E-8124-659DE903EC99}"/>
    <cellStyle name="RISKlightBoxed 5 2 9" xfId="3211" xr:uid="{A9A10C5A-335C-44A2-AB2A-67E36243221B}"/>
    <cellStyle name="RISKlightBoxed 5 2 9 2" xfId="6630" xr:uid="{0A35595B-89A2-4E93-A12B-5329E6666F8A}"/>
    <cellStyle name="RISKlightBoxed 5 2 9 3" xfId="9795" xr:uid="{01F7D5E0-0EFA-42C7-88D6-9D90DFACA270}"/>
    <cellStyle name="RISKlightBoxed 5 20" xfId="11907" xr:uid="{7A678149-4858-47F7-89BF-CD1CC1EE94F1}"/>
    <cellStyle name="RISKlightBoxed 5 21" xfId="12129" xr:uid="{52B46270-C944-4850-98EC-48B6AF300D7A}"/>
    <cellStyle name="RISKlightBoxed 5 22" xfId="12601" xr:uid="{D6CDC1D6-7CE7-4920-AFE4-8344610C6413}"/>
    <cellStyle name="RISKlightBoxed 5 23" xfId="12736" xr:uid="{B8A8813B-6BD8-44EF-A27B-140EC3FF1F9C}"/>
    <cellStyle name="RISKlightBoxed 5 24" xfId="12877" xr:uid="{C0EBC71B-0ACE-494E-BCA6-5C79A080EB1C}"/>
    <cellStyle name="RISKlightBoxed 5 25" xfId="13239" xr:uid="{3E043FB1-FC66-48F3-B039-51008DAABDFD}"/>
    <cellStyle name="RISKlightBoxed 5 26" xfId="13031" xr:uid="{F1952457-412C-4012-BCAD-E622B25C4604}"/>
    <cellStyle name="RISKlightBoxed 5 3" xfId="1535" xr:uid="{00000000-0005-0000-0000-000093050000}"/>
    <cellStyle name="RISKlightBoxed 5 3 2" xfId="3636" xr:uid="{52DFD019-37A2-4CA3-B701-FFB9EB6ED47B}"/>
    <cellStyle name="RISKlightBoxed 5 3 3" xfId="4944" xr:uid="{DBEB8313-A024-474D-9760-53F07D104D70}"/>
    <cellStyle name="RISKlightBoxed 5 3 4" xfId="8151" xr:uid="{3D54002D-E62A-4A83-AB07-9A1F34312622}"/>
    <cellStyle name="RISKlightBoxed 5 4" xfId="1792" xr:uid="{00000000-0005-0000-0000-000094050000}"/>
    <cellStyle name="RISKlightBoxed 5 4 2" xfId="3892" xr:uid="{C8D02B68-59B8-4EB9-9F25-8402584430E7}"/>
    <cellStyle name="RISKlightBoxed 5 4 3" xfId="5196" xr:uid="{6DC632EF-A254-4CFD-9CBC-8B9CAD3CEB99}"/>
    <cellStyle name="RISKlightBoxed 5 4 4" xfId="8390" xr:uid="{A07F2326-CFA5-4ED5-A38A-E95F2EB2D448}"/>
    <cellStyle name="RISKlightBoxed 5 5" xfId="2046" xr:uid="{00000000-0005-0000-0000-000095050000}"/>
    <cellStyle name="RISKlightBoxed 5 5 2" xfId="4136" xr:uid="{F25A152F-9B92-4C62-8B38-9E3E465DB6A9}"/>
    <cellStyle name="RISKlightBoxed 5 5 3" xfId="5434" xr:uid="{48DC570B-DF2B-45A1-984B-315CAF08E45B}"/>
    <cellStyle name="RISKlightBoxed 5 5 4" xfId="8626" xr:uid="{31D621E1-3C2E-48DE-ABE8-F918D60EB77A}"/>
    <cellStyle name="RISKlightBoxed 5 6" xfId="2288" xr:uid="{BF10BAD5-C683-42BD-B468-2765586BD71F}"/>
    <cellStyle name="RISKlightBoxed 5 6 2" xfId="5670" xr:uid="{D87833CD-7CB4-4CAC-8268-F6BE1ADEABD2}"/>
    <cellStyle name="RISKlightBoxed 5 6 3" xfId="8862" xr:uid="{CE321921-33AE-4F85-9397-B0C22F2A0B9E}"/>
    <cellStyle name="RISKlightBoxed 5 7" xfId="2524" xr:uid="{D43ABF98-1923-4078-8809-7E24FBC8432A}"/>
    <cellStyle name="RISKlightBoxed 5 7 2" xfId="5900" xr:uid="{1A896121-142C-4F4A-93FE-A1FD1DFDA829}"/>
    <cellStyle name="RISKlightBoxed 5 7 3" xfId="9092" xr:uid="{8E74079D-2EB4-49B1-8E0A-F3269C317725}"/>
    <cellStyle name="RISKlightBoxed 5 8" xfId="2763" xr:uid="{858ACB28-A0C0-49F6-A741-1727A1252ED5}"/>
    <cellStyle name="RISKlightBoxed 5 8 2" xfId="6133" xr:uid="{7C6E077C-4DC0-4CF6-8AA3-A6513DC64E47}"/>
    <cellStyle name="RISKlightBoxed 5 8 3" xfId="9322" xr:uid="{4C9149E9-0E03-4E64-8D72-B3A714F195F1}"/>
    <cellStyle name="RISKlightBoxed 5 9" xfId="2998" xr:uid="{CE51074B-559A-4854-87B9-0635A1C8B238}"/>
    <cellStyle name="RISKlightBoxed 5 9 2" xfId="6366" xr:uid="{17782110-5A48-4D99-B617-16D22DA7E4D6}"/>
    <cellStyle name="RISKlightBoxed 5 9 3" xfId="9552" xr:uid="{B60B121A-7E24-4EB8-B83D-62E8728895F2}"/>
    <cellStyle name="RISKlightBoxed 6" xfId="992" xr:uid="{00000000-0005-0000-0000-000096050000}"/>
    <cellStyle name="RISKlightBoxed 6 10" xfId="3212" xr:uid="{6D71B22B-B583-4CE8-B11E-09941C8B3BBB}"/>
    <cellStyle name="RISKlightBoxed 6 10 2" xfId="6631" xr:uid="{ADB092B3-0702-45BD-9FD9-EDDBD4D5EA20}"/>
    <cellStyle name="RISKlightBoxed 6 10 3" xfId="9796" xr:uid="{C5E8D9DA-E9F8-416D-99F0-D2E8288D8A84}"/>
    <cellStyle name="RISKlightBoxed 6 11" xfId="6893" xr:uid="{956FF991-781B-4A46-8887-F845063CFD5D}"/>
    <cellStyle name="RISKlightBoxed 6 11 2" xfId="10038" xr:uid="{868E011A-B972-4187-8CD7-72E69328E88C}"/>
    <cellStyle name="RISKlightBoxed 6 12" xfId="7172" xr:uid="{9A672B7A-2625-48BA-86E4-51953FE00800}"/>
    <cellStyle name="RISKlightBoxed 6 12 2" xfId="10311" xr:uid="{79CC3F68-4FBD-491E-93BA-84467BD3652F}"/>
    <cellStyle name="RISKlightBoxed 6 13" xfId="7496" xr:uid="{DA1D021B-23AD-48AF-B260-4738E391E313}"/>
    <cellStyle name="RISKlightBoxed 6 13 2" xfId="10630" xr:uid="{3B416C3C-3EFB-4C7C-A17A-7F14AE403D5B}"/>
    <cellStyle name="RISKlightBoxed 6 14" xfId="7283" xr:uid="{54009E55-47CA-4FCB-BC2E-87F636CCBF6B}"/>
    <cellStyle name="RISKlightBoxed 6 14 2" xfId="10421" xr:uid="{917C24DC-A853-45B6-B594-BBAC54A745FA}"/>
    <cellStyle name="RISKlightBoxed 6 15" xfId="4518" xr:uid="{51F0530C-31E0-4F37-A47E-946DD84813FA}"/>
    <cellStyle name="RISKlightBoxed 6 16" xfId="4313" xr:uid="{5814B263-01C5-4EF6-9BCC-34F5ABF0C6DB}"/>
    <cellStyle name="RISKlightBoxed 6 17" xfId="11020" xr:uid="{2D85FFF0-8EEB-46E5-AE80-AF80591A1EAC}"/>
    <cellStyle name="RISKlightBoxed 6 18" xfId="11436" xr:uid="{F09E27DE-D6D1-4777-8A84-179E5E989BC1}"/>
    <cellStyle name="RISKlightBoxed 6 19" xfId="11585" xr:uid="{5D673F43-2B84-4481-BCE4-A6159C0BAF29}"/>
    <cellStyle name="RISKlightBoxed 6 2" xfId="993" xr:uid="{00000000-0005-0000-0000-000097050000}"/>
    <cellStyle name="RISKlightBoxed 6 2 10" xfId="6894" xr:uid="{FB2A44AC-DAF7-4F07-9D36-0D36B15B81F5}"/>
    <cellStyle name="RISKlightBoxed 6 2 10 2" xfId="10039" xr:uid="{1E6D182B-AB6D-49F8-A9E0-9B81DCF71CC5}"/>
    <cellStyle name="RISKlightBoxed 6 2 11" xfId="7173" xr:uid="{2EB4E838-1F36-407E-A871-D0BC4289E7A6}"/>
    <cellStyle name="RISKlightBoxed 6 2 11 2" xfId="10312" xr:uid="{D2EBEC78-0063-4B32-9401-8FFB95E7010C}"/>
    <cellStyle name="RISKlightBoxed 6 2 12" xfId="7497" xr:uid="{5ED81456-9C3A-4CB2-929C-07DF43054C66}"/>
    <cellStyle name="RISKlightBoxed 6 2 12 2" xfId="10631" xr:uid="{1D9B775B-833B-46EC-B306-186EA98C2032}"/>
    <cellStyle name="RISKlightBoxed 6 2 13" xfId="7282" xr:uid="{8AA0C650-31E2-4D6A-8ED5-83F124D53C78}"/>
    <cellStyle name="RISKlightBoxed 6 2 13 2" xfId="10420" xr:uid="{69B6F7F8-27D2-47A6-AEF9-D9D3398FBDF1}"/>
    <cellStyle name="RISKlightBoxed 6 2 14" xfId="4519" xr:uid="{AC08FEF0-DB8D-4539-84AE-130B66031603}"/>
    <cellStyle name="RISKlightBoxed 6 2 15" xfId="4312" xr:uid="{FC00D64B-3C30-490C-AB98-CBC1446A7A15}"/>
    <cellStyle name="RISKlightBoxed 6 2 16" xfId="11021" xr:uid="{ED30C5D2-BAA0-45CC-BCD7-01690363440C}"/>
    <cellStyle name="RISKlightBoxed 6 2 17" xfId="11437" xr:uid="{ED82A6A9-420A-422C-A011-3E33569E9AA5}"/>
    <cellStyle name="RISKlightBoxed 6 2 18" xfId="11586" xr:uid="{7AB3A128-832A-44A6-8160-2BCECB50B6FE}"/>
    <cellStyle name="RISKlightBoxed 6 2 19" xfId="11910" xr:uid="{FD77B356-D627-40EB-840B-293D736BE2C0}"/>
    <cellStyle name="RISKlightBoxed 6 2 2" xfId="1538" xr:uid="{00000000-0005-0000-0000-000098050000}"/>
    <cellStyle name="RISKlightBoxed 6 2 2 2" xfId="3639" xr:uid="{EB08B4BD-E5F0-4CD8-B5DB-EC1041B9FC7C}"/>
    <cellStyle name="RISKlightBoxed 6 2 2 3" xfId="4947" xr:uid="{F8402C69-D803-405D-950D-AC3BDB84253D}"/>
    <cellStyle name="RISKlightBoxed 6 2 2 4" xfId="8154" xr:uid="{3BBED0D0-9B0F-4F8C-B46F-6F873DB8B538}"/>
    <cellStyle name="RISKlightBoxed 6 2 20" xfId="12132" xr:uid="{AC7E5F5B-E0D3-4B43-8E53-F22272B8A5B5}"/>
    <cellStyle name="RISKlightBoxed 6 2 21" xfId="12604" xr:uid="{99C0EA62-0D6A-4167-80D7-5D6845A1F8E9}"/>
    <cellStyle name="RISKlightBoxed 6 2 22" xfId="12739" xr:uid="{45FBDC75-5D47-486F-BB7C-28E3769BA622}"/>
    <cellStyle name="RISKlightBoxed 6 2 23" xfId="12880" xr:uid="{AEBA031C-3E76-4160-950B-926BEE03CCF2}"/>
    <cellStyle name="RISKlightBoxed 6 2 24" xfId="13242" xr:uid="{978B122C-EBB8-421D-AAA4-E9B3129A6837}"/>
    <cellStyle name="RISKlightBoxed 6 2 25" xfId="13028" xr:uid="{A35AAC31-D8A0-4210-AC22-94AB27314418}"/>
    <cellStyle name="RISKlightBoxed 6 2 3" xfId="1795" xr:uid="{00000000-0005-0000-0000-000099050000}"/>
    <cellStyle name="RISKlightBoxed 6 2 3 2" xfId="3895" xr:uid="{260F5A26-EEF9-4B84-BBD0-899B17ADEB1F}"/>
    <cellStyle name="RISKlightBoxed 6 2 3 3" xfId="5199" xr:uid="{6AA2184B-D629-4EFF-B3F3-FE0D4F251F49}"/>
    <cellStyle name="RISKlightBoxed 6 2 3 4" xfId="8393" xr:uid="{395A10C8-0EF2-4474-8E09-CCBF7BEBF60B}"/>
    <cellStyle name="RISKlightBoxed 6 2 4" xfId="2049" xr:uid="{00000000-0005-0000-0000-00009A050000}"/>
    <cellStyle name="RISKlightBoxed 6 2 4 2" xfId="4139" xr:uid="{8218AE83-2BAA-4B1D-977E-B63E9FD3ED36}"/>
    <cellStyle name="RISKlightBoxed 6 2 4 3" xfId="5437" xr:uid="{555532B3-768A-4930-91E1-25C33EBFDB1B}"/>
    <cellStyle name="RISKlightBoxed 6 2 4 4" xfId="8629" xr:uid="{A147EB8D-21AE-492C-B0E8-84262CFDB9E4}"/>
    <cellStyle name="RISKlightBoxed 6 2 5" xfId="2291" xr:uid="{A0034951-9DB7-4434-8A0D-762DA942FB50}"/>
    <cellStyle name="RISKlightBoxed 6 2 5 2" xfId="5673" xr:uid="{A93185C9-2679-4351-B317-7DC9631DC774}"/>
    <cellStyle name="RISKlightBoxed 6 2 5 3" xfId="8865" xr:uid="{074EB83C-16DA-449F-8D52-148E1ECB4D6A}"/>
    <cellStyle name="RISKlightBoxed 6 2 6" xfId="2527" xr:uid="{0E7DFD37-EEBF-427D-A129-5831150DCE0F}"/>
    <cellStyle name="RISKlightBoxed 6 2 6 2" xfId="5903" xr:uid="{0947352A-A7F9-48EF-9EA8-8974D0500F09}"/>
    <cellStyle name="RISKlightBoxed 6 2 6 3" xfId="9095" xr:uid="{209AE353-5334-4FBA-AE21-FB2297E899C3}"/>
    <cellStyle name="RISKlightBoxed 6 2 7" xfId="2766" xr:uid="{1E2C4B16-E631-4938-974D-B5EDB5A92484}"/>
    <cellStyle name="RISKlightBoxed 6 2 7 2" xfId="6136" xr:uid="{4FC9EAB1-2FDF-495F-A890-F2F9241A6ABE}"/>
    <cellStyle name="RISKlightBoxed 6 2 7 3" xfId="9325" xr:uid="{68955E8C-D132-4001-8285-55BDDA1CCC00}"/>
    <cellStyle name="RISKlightBoxed 6 2 8" xfId="3001" xr:uid="{D08C09B7-6337-446B-8F0B-C97F66A48605}"/>
    <cellStyle name="RISKlightBoxed 6 2 8 2" xfId="6369" xr:uid="{BEBA041A-A9E5-4FE9-B6A7-905DBD938E01}"/>
    <cellStyle name="RISKlightBoxed 6 2 8 3" xfId="9555" xr:uid="{FD32053B-07D2-412C-B473-273ED44A176E}"/>
    <cellStyle name="RISKlightBoxed 6 2 9" xfId="3213" xr:uid="{BADEF6DA-50FE-4BF9-98BA-0CAC5CE87982}"/>
    <cellStyle name="RISKlightBoxed 6 2 9 2" xfId="6632" xr:uid="{82F589BB-6FD5-4AD2-A2F2-2E655FB911B7}"/>
    <cellStyle name="RISKlightBoxed 6 2 9 3" xfId="9797" xr:uid="{2D44D2C5-16FB-4E6E-A99A-680FEFFB773E}"/>
    <cellStyle name="RISKlightBoxed 6 20" xfId="11909" xr:uid="{36904752-588A-4A93-B1C6-A62DBEAFE0E8}"/>
    <cellStyle name="RISKlightBoxed 6 21" xfId="12131" xr:uid="{F48D702C-5468-46C0-8241-5BE1043DF2A9}"/>
    <cellStyle name="RISKlightBoxed 6 22" xfId="12603" xr:uid="{CC0C8C79-220E-4F40-BBCC-098B361331F9}"/>
    <cellStyle name="RISKlightBoxed 6 23" xfId="12738" xr:uid="{DDA9069C-342F-490C-A1C6-D2C09976BAB9}"/>
    <cellStyle name="RISKlightBoxed 6 24" xfId="12879" xr:uid="{7CBC8C85-5114-44BB-B32D-4C3888AF67D9}"/>
    <cellStyle name="RISKlightBoxed 6 25" xfId="13241" xr:uid="{02638F36-F3E6-4C6B-84F8-B5EA303FF0B2}"/>
    <cellStyle name="RISKlightBoxed 6 26" xfId="13029" xr:uid="{25E8B1F6-5598-4C65-B15C-7049D30D9263}"/>
    <cellStyle name="RISKlightBoxed 6 3" xfId="1537" xr:uid="{00000000-0005-0000-0000-00009B050000}"/>
    <cellStyle name="RISKlightBoxed 6 3 2" xfId="3638" xr:uid="{B13B196D-DFCB-4D7F-AC01-29F1C4E43920}"/>
    <cellStyle name="RISKlightBoxed 6 3 3" xfId="4946" xr:uid="{1708BA02-3AA2-4E45-87BA-7F75C012F7D5}"/>
    <cellStyle name="RISKlightBoxed 6 3 4" xfId="8153" xr:uid="{DF4E6D3C-9340-4652-B66C-B4E0ECD59F0A}"/>
    <cellStyle name="RISKlightBoxed 6 4" xfId="1794" xr:uid="{00000000-0005-0000-0000-00009C050000}"/>
    <cellStyle name="RISKlightBoxed 6 4 2" xfId="3894" xr:uid="{F5068021-426B-472C-B385-091FA0E11728}"/>
    <cellStyle name="RISKlightBoxed 6 4 3" xfId="5198" xr:uid="{790869CC-C332-4C87-B27B-B5FD32ECE353}"/>
    <cellStyle name="RISKlightBoxed 6 4 4" xfId="8392" xr:uid="{1313A47E-536B-46F9-B7C7-F18282C6347A}"/>
    <cellStyle name="RISKlightBoxed 6 5" xfId="2048" xr:uid="{00000000-0005-0000-0000-00009D050000}"/>
    <cellStyle name="RISKlightBoxed 6 5 2" xfId="4138" xr:uid="{5652811B-F354-4776-B3DE-3E453452724D}"/>
    <cellStyle name="RISKlightBoxed 6 5 3" xfId="5436" xr:uid="{8C545593-4B30-485D-9F00-B9257C6CAE79}"/>
    <cellStyle name="RISKlightBoxed 6 5 4" xfId="8628" xr:uid="{E8879B6C-D110-4D51-86DB-8DC3D9F6DBFC}"/>
    <cellStyle name="RISKlightBoxed 6 6" xfId="2290" xr:uid="{8E66C246-29AD-46B5-8143-776FAACC5C54}"/>
    <cellStyle name="RISKlightBoxed 6 6 2" xfId="5672" xr:uid="{AB2F5FF4-9F8A-40A0-A630-325A20FB7FE8}"/>
    <cellStyle name="RISKlightBoxed 6 6 3" xfId="8864" xr:uid="{A0529436-427A-420E-B888-A60E936C6633}"/>
    <cellStyle name="RISKlightBoxed 6 7" xfId="2526" xr:uid="{F18734E0-283F-4EC5-9DD1-DC4B8DDF7C55}"/>
    <cellStyle name="RISKlightBoxed 6 7 2" xfId="5902" xr:uid="{837E6EA6-272C-46B7-A18B-BBA616972D35}"/>
    <cellStyle name="RISKlightBoxed 6 7 3" xfId="9094" xr:uid="{7195BADE-2294-4BB1-94AC-8E935EA4AE56}"/>
    <cellStyle name="RISKlightBoxed 6 8" xfId="2765" xr:uid="{FF3250E9-6BB4-4603-83A6-627526E1B374}"/>
    <cellStyle name="RISKlightBoxed 6 8 2" xfId="6135" xr:uid="{41655121-DB99-4F3F-AE39-5C48AE4EA4B1}"/>
    <cellStyle name="RISKlightBoxed 6 8 3" xfId="9324" xr:uid="{3A78E671-4883-4C18-8066-428381534759}"/>
    <cellStyle name="RISKlightBoxed 6 9" xfId="3000" xr:uid="{E3EF4FB8-50B2-4BE0-BF33-251FF874D7E2}"/>
    <cellStyle name="RISKlightBoxed 6 9 2" xfId="6368" xr:uid="{45B0DB75-E9B2-4ECB-8DB1-A9572BF8212C}"/>
    <cellStyle name="RISKlightBoxed 6 9 3" xfId="9554" xr:uid="{1D4A1837-DCE0-4C41-A80D-D9B4682B337E}"/>
    <cellStyle name="RISKlightBoxed 7" xfId="994" xr:uid="{00000000-0005-0000-0000-00009E050000}"/>
    <cellStyle name="RISKlightBoxed 7 10" xfId="3002" xr:uid="{27AC6314-76D0-47FA-B546-498532903DEC}"/>
    <cellStyle name="RISKlightBoxed 7 10 2" xfId="6370" xr:uid="{470D13D6-19E9-48EA-BE36-D684076F5E9A}"/>
    <cellStyle name="RISKlightBoxed 7 10 3" xfId="9556" xr:uid="{9C7BC033-1294-45A5-8936-A2BC217330A3}"/>
    <cellStyle name="RISKlightBoxed 7 11" xfId="3214" xr:uid="{1E50C7E4-2FA2-4AC4-8CC3-1E7BB8339799}"/>
    <cellStyle name="RISKlightBoxed 7 11 2" xfId="6633" xr:uid="{1A9A510B-AF16-40E1-9B1D-8A4DE7CF7723}"/>
    <cellStyle name="RISKlightBoxed 7 11 3" xfId="9798" xr:uid="{F420773C-D44B-4593-AA31-82D79A2EE407}"/>
    <cellStyle name="RISKlightBoxed 7 12" xfId="6895" xr:uid="{31660CC6-749E-44AE-A93D-C3E237AF26E3}"/>
    <cellStyle name="RISKlightBoxed 7 12 2" xfId="10040" xr:uid="{C2270566-D31E-4D9D-88DD-B3765696378B}"/>
    <cellStyle name="RISKlightBoxed 7 13" xfId="7174" xr:uid="{FE533DAA-EB8C-4C63-AC53-8727B92D6FAA}"/>
    <cellStyle name="RISKlightBoxed 7 13 2" xfId="10313" xr:uid="{34BF0B54-EBBD-4FEA-85CB-0D3D8EE786A5}"/>
    <cellStyle name="RISKlightBoxed 7 14" xfId="7498" xr:uid="{4C5E73C6-03A0-4F9C-B1D1-13DAE59CD609}"/>
    <cellStyle name="RISKlightBoxed 7 14 2" xfId="10632" xr:uid="{525EE8F7-9DC3-44F1-AEA4-EA001E32D355}"/>
    <cellStyle name="RISKlightBoxed 7 15" xfId="7281" xr:uid="{3BE40854-B02D-403E-A988-7E611020AE4D}"/>
    <cellStyle name="RISKlightBoxed 7 15 2" xfId="10419" xr:uid="{A53861A4-1446-4893-A440-7EAD9457C5DF}"/>
    <cellStyle name="RISKlightBoxed 7 16" xfId="4520" xr:uid="{B744CE52-985D-49B3-AF04-E64F7D5E1301}"/>
    <cellStyle name="RISKlightBoxed 7 17" xfId="4311" xr:uid="{A9EC3378-7782-4B86-AA7A-66FB78768254}"/>
    <cellStyle name="RISKlightBoxed 7 18" xfId="11022" xr:uid="{6FD45D0E-DD20-4D98-AEA8-1AD22774EEA5}"/>
    <cellStyle name="RISKlightBoxed 7 19" xfId="11438" xr:uid="{9EFC4707-F573-4F7C-9408-57AB752DCA32}"/>
    <cellStyle name="RISKlightBoxed 7 2" xfId="995" xr:uid="{00000000-0005-0000-0000-00009F050000}"/>
    <cellStyle name="RISKlightBoxed 7 2 10" xfId="6896" xr:uid="{8298F9F5-041E-41D5-A1AA-69D0693244D4}"/>
    <cellStyle name="RISKlightBoxed 7 2 10 2" xfId="10041" xr:uid="{CC466CD8-EAFF-47E8-BA6E-EF0916570FE6}"/>
    <cellStyle name="RISKlightBoxed 7 2 11" xfId="7175" xr:uid="{D0A7DC39-0BC6-4439-A042-B5FBE5EFEC82}"/>
    <cellStyle name="RISKlightBoxed 7 2 11 2" xfId="10314" xr:uid="{25921ADD-7FE3-4443-BA71-5841E43BB173}"/>
    <cellStyle name="RISKlightBoxed 7 2 12" xfId="7499" xr:uid="{CFDD816B-6FDB-4C5E-9DE8-22FC7DC7B669}"/>
    <cellStyle name="RISKlightBoxed 7 2 12 2" xfId="10633" xr:uid="{6E0F7D57-B093-488E-B929-C34C38536AD0}"/>
    <cellStyle name="RISKlightBoxed 7 2 13" xfId="7637" xr:uid="{99FEEA0A-3CF4-439E-9A08-84FDDB17BF71}"/>
    <cellStyle name="RISKlightBoxed 7 2 13 2" xfId="10770" xr:uid="{DCBF847B-517D-4C64-99D2-4C1E1D85B0DA}"/>
    <cellStyle name="RISKlightBoxed 7 2 14" xfId="4521" xr:uid="{813432EB-B621-410C-A292-431C125FE7AF}"/>
    <cellStyle name="RISKlightBoxed 7 2 15" xfId="4310" xr:uid="{51A76F01-55E8-43D3-BF20-DDDF1E4A9655}"/>
    <cellStyle name="RISKlightBoxed 7 2 16" xfId="11023" xr:uid="{B8B97552-CD73-4AFD-87A1-09B20F00D54B}"/>
    <cellStyle name="RISKlightBoxed 7 2 17" xfId="11439" xr:uid="{48F650BD-FA5C-43E5-AEDC-16F5B7829246}"/>
    <cellStyle name="RISKlightBoxed 7 2 18" xfId="11588" xr:uid="{95EF909E-A0B0-47A1-BCF1-85378C89C30D}"/>
    <cellStyle name="RISKlightBoxed 7 2 19" xfId="11912" xr:uid="{D8E96F11-8C2A-410C-BD84-5F8305BE2357}"/>
    <cellStyle name="RISKlightBoxed 7 2 2" xfId="1540" xr:uid="{00000000-0005-0000-0000-0000A0050000}"/>
    <cellStyle name="RISKlightBoxed 7 2 2 2" xfId="3641" xr:uid="{C03C5373-0A46-4CA6-85C3-B3384EC65303}"/>
    <cellStyle name="RISKlightBoxed 7 2 2 3" xfId="4949" xr:uid="{74CD12F0-046E-4C8C-A197-A38403BDFE5A}"/>
    <cellStyle name="RISKlightBoxed 7 2 2 4" xfId="8156" xr:uid="{5D0CD950-839C-4E8C-8945-4421F306371D}"/>
    <cellStyle name="RISKlightBoxed 7 2 20" xfId="12134" xr:uid="{B55D3967-197C-4FDD-8CE2-71A9FF506BD6}"/>
    <cellStyle name="RISKlightBoxed 7 2 21" xfId="12606" xr:uid="{839086DF-8214-492B-ABEE-52B5701DE092}"/>
    <cellStyle name="RISKlightBoxed 7 2 22" xfId="12741" xr:uid="{51709DB7-CED0-4125-B975-AE3075DBE31C}"/>
    <cellStyle name="RISKlightBoxed 7 2 23" xfId="12882" xr:uid="{9612F970-329F-4E21-AF74-6C23FCC5AF09}"/>
    <cellStyle name="RISKlightBoxed 7 2 24" xfId="13244" xr:uid="{B532E488-43AF-4BE9-BDDC-773FB5D3ECD8}"/>
    <cellStyle name="RISKlightBoxed 7 2 25" xfId="13373" xr:uid="{D4E493C3-530E-4D96-95D6-667F83279F9D}"/>
    <cellStyle name="RISKlightBoxed 7 2 3" xfId="1797" xr:uid="{00000000-0005-0000-0000-0000A1050000}"/>
    <cellStyle name="RISKlightBoxed 7 2 3 2" xfId="3897" xr:uid="{617AAA1D-430C-45CB-B089-28BD7D7391CD}"/>
    <cellStyle name="RISKlightBoxed 7 2 3 3" xfId="5201" xr:uid="{48338C93-1C3C-4953-BA60-B77220A7B35C}"/>
    <cellStyle name="RISKlightBoxed 7 2 3 4" xfId="8395" xr:uid="{8B41F984-B82F-4DA7-86DE-979068C525F2}"/>
    <cellStyle name="RISKlightBoxed 7 2 4" xfId="2051" xr:uid="{00000000-0005-0000-0000-0000A2050000}"/>
    <cellStyle name="RISKlightBoxed 7 2 4 2" xfId="4141" xr:uid="{AC11840C-3874-4B52-966E-81AEEC539712}"/>
    <cellStyle name="RISKlightBoxed 7 2 4 3" xfId="5439" xr:uid="{0B3D60F8-E1CB-49AC-BBE5-56C6C94918BC}"/>
    <cellStyle name="RISKlightBoxed 7 2 4 4" xfId="8631" xr:uid="{12FB2222-9C15-4D39-A45A-DE726FDE1BCD}"/>
    <cellStyle name="RISKlightBoxed 7 2 5" xfId="2293" xr:uid="{13AC5568-7BD5-4F85-A6AD-80A08E87D43A}"/>
    <cellStyle name="RISKlightBoxed 7 2 5 2" xfId="5675" xr:uid="{A7944BAE-13E7-4935-A156-C48FE96443D4}"/>
    <cellStyle name="RISKlightBoxed 7 2 5 3" xfId="8867" xr:uid="{76B66EC6-8183-425E-8F36-5F686155952E}"/>
    <cellStyle name="RISKlightBoxed 7 2 6" xfId="2529" xr:uid="{329384FD-4160-4E5B-8100-9E1952A80A67}"/>
    <cellStyle name="RISKlightBoxed 7 2 6 2" xfId="5905" xr:uid="{246030A2-FB25-4BBF-96C0-80989C084BF3}"/>
    <cellStyle name="RISKlightBoxed 7 2 6 3" xfId="9097" xr:uid="{991185DF-11E6-493E-B58E-7ADFD90CE569}"/>
    <cellStyle name="RISKlightBoxed 7 2 7" xfId="2768" xr:uid="{15271529-F738-453C-A5E0-0A0FF40862DD}"/>
    <cellStyle name="RISKlightBoxed 7 2 7 2" xfId="6138" xr:uid="{2A25623B-301D-407B-B520-B1E2F782E776}"/>
    <cellStyle name="RISKlightBoxed 7 2 7 3" xfId="9327" xr:uid="{BA5A942B-EBA7-4219-B7F7-D98D6A62C328}"/>
    <cellStyle name="RISKlightBoxed 7 2 8" xfId="3003" xr:uid="{AD35F188-42D4-4E6F-AFFD-7B6B43E2A9B2}"/>
    <cellStyle name="RISKlightBoxed 7 2 8 2" xfId="6371" xr:uid="{F7F27D38-6678-401E-BE76-D4C220376817}"/>
    <cellStyle name="RISKlightBoxed 7 2 8 3" xfId="9557" xr:uid="{6040D195-E854-4FCD-8AAD-3507DFC15332}"/>
    <cellStyle name="RISKlightBoxed 7 2 9" xfId="3215" xr:uid="{BC7B9683-6943-4CB6-87D5-76133583B6F1}"/>
    <cellStyle name="RISKlightBoxed 7 2 9 2" xfId="6634" xr:uid="{86DB88FF-00E0-4EF1-8FDE-763CC9C88AAC}"/>
    <cellStyle name="RISKlightBoxed 7 2 9 3" xfId="9799" xr:uid="{2C681340-C22B-44AB-AB90-CD90D1A5F7BE}"/>
    <cellStyle name="RISKlightBoxed 7 20" xfId="11587" xr:uid="{E0C540FF-E66C-47C7-B49A-E50533345951}"/>
    <cellStyle name="RISKlightBoxed 7 21" xfId="11911" xr:uid="{F485416D-E29E-481A-BC71-0462D711DD7E}"/>
    <cellStyle name="RISKlightBoxed 7 22" xfId="12133" xr:uid="{EDB92C09-979D-4758-AC40-E5EAB7EEBB4F}"/>
    <cellStyle name="RISKlightBoxed 7 23" xfId="12605" xr:uid="{20A24EA1-9C6F-47DE-886F-FEA640B02FA4}"/>
    <cellStyle name="RISKlightBoxed 7 24" xfId="12740" xr:uid="{7536BEB2-CFD8-4094-B75A-02639B554705}"/>
    <cellStyle name="RISKlightBoxed 7 25" xfId="12881" xr:uid="{7F399F7D-D891-4467-B6EB-8276B33673CC}"/>
    <cellStyle name="RISKlightBoxed 7 26" xfId="13243" xr:uid="{BDE4C19E-27D0-4816-A419-DA2FF7289BDB}"/>
    <cellStyle name="RISKlightBoxed 7 27" xfId="13027" xr:uid="{78636798-F111-42B8-8C8A-591B8AE8C3F9}"/>
    <cellStyle name="RISKlightBoxed 7 3" xfId="996" xr:uid="{00000000-0005-0000-0000-0000A3050000}"/>
    <cellStyle name="RISKlightBoxed 7 3 10" xfId="6897" xr:uid="{8C53B146-F45E-4A34-8140-6205EE609E10}"/>
    <cellStyle name="RISKlightBoxed 7 3 10 2" xfId="10042" xr:uid="{DCF53E10-B787-418D-9479-1F405644CB5E}"/>
    <cellStyle name="RISKlightBoxed 7 3 11" xfId="7176" xr:uid="{DBCDC05C-93EB-456B-B246-C80D0532D037}"/>
    <cellStyle name="RISKlightBoxed 7 3 11 2" xfId="10315" xr:uid="{E1C74F3B-9582-46AF-9ECC-6C93097B77C3}"/>
    <cellStyle name="RISKlightBoxed 7 3 12" xfId="7500" xr:uid="{A34B3D8D-7969-463A-9123-97253F570FB4}"/>
    <cellStyle name="RISKlightBoxed 7 3 12 2" xfId="10634" xr:uid="{EE3DFDFC-7D34-4919-A255-B18DBE48FB43}"/>
    <cellStyle name="RISKlightBoxed 7 3 13" xfId="7638" xr:uid="{7A099F14-6B4D-40AC-A4EF-ECD689261851}"/>
    <cellStyle name="RISKlightBoxed 7 3 13 2" xfId="10771" xr:uid="{21543768-B223-4A75-99A5-28D9C6BC625B}"/>
    <cellStyle name="RISKlightBoxed 7 3 14" xfId="4522" xr:uid="{AB707859-6466-4302-AE1C-19D1992B25B5}"/>
    <cellStyle name="RISKlightBoxed 7 3 15" xfId="4309" xr:uid="{CD0EBDDC-0EA5-47F0-8C72-E04D2909721D}"/>
    <cellStyle name="RISKlightBoxed 7 3 16" xfId="11024" xr:uid="{B6783E8B-CB01-4281-923E-ECBCA69B6FE9}"/>
    <cellStyle name="RISKlightBoxed 7 3 17" xfId="11440" xr:uid="{0755FA8A-F13C-49CF-8B2C-7A9E84C8F79D}"/>
    <cellStyle name="RISKlightBoxed 7 3 18" xfId="11589" xr:uid="{9E5D7677-D757-4A6B-8D81-0CF8991BB60B}"/>
    <cellStyle name="RISKlightBoxed 7 3 19" xfId="11913" xr:uid="{BD340134-0BCD-4595-BC76-ABF8833F46CF}"/>
    <cellStyle name="RISKlightBoxed 7 3 2" xfId="1541" xr:uid="{00000000-0005-0000-0000-0000A4050000}"/>
    <cellStyle name="RISKlightBoxed 7 3 2 2" xfId="3642" xr:uid="{1080019A-12F8-4DC1-B6CC-32EADD4BD4B2}"/>
    <cellStyle name="RISKlightBoxed 7 3 2 3" xfId="4950" xr:uid="{4416F2F7-AA17-4445-8953-5CB919A6A058}"/>
    <cellStyle name="RISKlightBoxed 7 3 2 4" xfId="8157" xr:uid="{6F9157B5-4DEB-44AD-BA5F-3FEF6B52C566}"/>
    <cellStyle name="RISKlightBoxed 7 3 20" xfId="12135" xr:uid="{4B3DAE7D-55E1-4978-A9B0-0164161827CF}"/>
    <cellStyle name="RISKlightBoxed 7 3 21" xfId="12607" xr:uid="{430BC052-0B5B-47B9-A5ED-259341D12E80}"/>
    <cellStyle name="RISKlightBoxed 7 3 22" xfId="12742" xr:uid="{A19A9230-3635-437A-862C-0195AE8E5553}"/>
    <cellStyle name="RISKlightBoxed 7 3 23" xfId="12883" xr:uid="{6D560343-7A59-464F-88AA-FA5877955F84}"/>
    <cellStyle name="RISKlightBoxed 7 3 24" xfId="13245" xr:uid="{D5587B37-9383-46D7-8F60-92DE0D180AE2}"/>
    <cellStyle name="RISKlightBoxed 7 3 25" xfId="13374" xr:uid="{7EEA4A63-78F2-4FFC-8C21-1FA2A4EFFE39}"/>
    <cellStyle name="RISKlightBoxed 7 3 3" xfId="1798" xr:uid="{00000000-0005-0000-0000-0000A5050000}"/>
    <cellStyle name="RISKlightBoxed 7 3 3 2" xfId="3898" xr:uid="{1371CD0C-4FFA-4278-84C2-D2F3B494D7CA}"/>
    <cellStyle name="RISKlightBoxed 7 3 3 3" xfId="5202" xr:uid="{92E573B5-6A69-48EE-BC64-EC35D9DCA807}"/>
    <cellStyle name="RISKlightBoxed 7 3 3 4" xfId="8396" xr:uid="{5CEF0CD0-0EBC-4336-93CD-A0015A8736E2}"/>
    <cellStyle name="RISKlightBoxed 7 3 4" xfId="2052" xr:uid="{00000000-0005-0000-0000-0000A6050000}"/>
    <cellStyle name="RISKlightBoxed 7 3 4 2" xfId="4142" xr:uid="{C1941764-AC94-4148-A86F-DD4AC8523026}"/>
    <cellStyle name="RISKlightBoxed 7 3 4 3" xfId="5440" xr:uid="{0379B8D9-98CB-4CF5-BC36-8C9A7E445378}"/>
    <cellStyle name="RISKlightBoxed 7 3 4 4" xfId="8632" xr:uid="{AFC8A9D3-CC96-4689-ADB5-A5A94A9E03A7}"/>
    <cellStyle name="RISKlightBoxed 7 3 5" xfId="2294" xr:uid="{FEE925F4-15CC-4876-B643-AA51052920FD}"/>
    <cellStyle name="RISKlightBoxed 7 3 5 2" xfId="5676" xr:uid="{29E13677-6124-4831-86B5-7516022B07CA}"/>
    <cellStyle name="RISKlightBoxed 7 3 5 3" xfId="8868" xr:uid="{825AAAFC-E642-44CB-BA81-A46C9F3AFAAC}"/>
    <cellStyle name="RISKlightBoxed 7 3 6" xfId="2530" xr:uid="{C9AFA1D2-9080-4735-A896-93AD53FCF4EC}"/>
    <cellStyle name="RISKlightBoxed 7 3 6 2" xfId="5906" xr:uid="{CD24378C-E13C-473A-A06F-A8B4955EC800}"/>
    <cellStyle name="RISKlightBoxed 7 3 6 3" xfId="9098" xr:uid="{0E5AEC36-DEE8-4556-BB5D-6ADC4F0A9603}"/>
    <cellStyle name="RISKlightBoxed 7 3 7" xfId="2769" xr:uid="{67066B06-A0E8-4DEB-AA1E-2B6D0CDF2D30}"/>
    <cellStyle name="RISKlightBoxed 7 3 7 2" xfId="6139" xr:uid="{92724849-8F75-4BB7-B9A7-2D2AADC9A752}"/>
    <cellStyle name="RISKlightBoxed 7 3 7 3" xfId="9328" xr:uid="{F6787D14-93EA-4533-975A-3A35CF7E5C06}"/>
    <cellStyle name="RISKlightBoxed 7 3 8" xfId="3004" xr:uid="{4C7E8D08-B25C-423B-ACFD-386F98C14A6C}"/>
    <cellStyle name="RISKlightBoxed 7 3 8 2" xfId="6372" xr:uid="{599FE595-842D-43D8-A79C-C830102721EF}"/>
    <cellStyle name="RISKlightBoxed 7 3 8 3" xfId="9558" xr:uid="{8D4B4E6B-D8AD-4419-8AEB-291110A46F6C}"/>
    <cellStyle name="RISKlightBoxed 7 3 9" xfId="3216" xr:uid="{C3074654-8D6E-40B8-8AFA-FDC88EDE0712}"/>
    <cellStyle name="RISKlightBoxed 7 3 9 2" xfId="6635" xr:uid="{0894FE71-DAF2-4EE3-AE84-D2795E8D8DF1}"/>
    <cellStyle name="RISKlightBoxed 7 3 9 3" xfId="9800" xr:uid="{5793F48E-99EE-4414-9D2B-EF0BA51A238B}"/>
    <cellStyle name="RISKlightBoxed 7 4" xfId="1539" xr:uid="{00000000-0005-0000-0000-0000A7050000}"/>
    <cellStyle name="RISKlightBoxed 7 4 2" xfId="3640" xr:uid="{18DA7FE3-665D-430B-A4C4-A10112525CFA}"/>
    <cellStyle name="RISKlightBoxed 7 4 3" xfId="4948" xr:uid="{ECBAFE4A-927A-4E4A-A2F8-DFB67FC6CC55}"/>
    <cellStyle name="RISKlightBoxed 7 4 4" xfId="8155" xr:uid="{A797892E-F58C-468E-A0AB-EC3FD8E79D2C}"/>
    <cellStyle name="RISKlightBoxed 7 5" xfId="1796" xr:uid="{00000000-0005-0000-0000-0000A8050000}"/>
    <cellStyle name="RISKlightBoxed 7 5 2" xfId="3896" xr:uid="{57A9DD52-4747-4DDD-A1F3-53E6F2F16619}"/>
    <cellStyle name="RISKlightBoxed 7 5 3" xfId="5200" xr:uid="{BA06707D-C085-4E25-A768-218B21BB6603}"/>
    <cellStyle name="RISKlightBoxed 7 5 4" xfId="8394" xr:uid="{9E9343DB-F357-41EB-8F11-AF9F3C283B87}"/>
    <cellStyle name="RISKlightBoxed 7 6" xfId="2050" xr:uid="{00000000-0005-0000-0000-0000A9050000}"/>
    <cellStyle name="RISKlightBoxed 7 6 2" xfId="4140" xr:uid="{8DD3B461-416E-4C48-BE69-7E4D218BFAF2}"/>
    <cellStyle name="RISKlightBoxed 7 6 3" xfId="5438" xr:uid="{AA9F93E7-8A4A-4DCF-BA95-F859DDBED485}"/>
    <cellStyle name="RISKlightBoxed 7 6 4" xfId="8630" xr:uid="{18B2DF2D-3F38-4163-AF51-627C97887510}"/>
    <cellStyle name="RISKlightBoxed 7 7" xfId="2292" xr:uid="{94D8A1D9-D989-43AA-980D-B875FDE72733}"/>
    <cellStyle name="RISKlightBoxed 7 7 2" xfId="5674" xr:uid="{FDDCD473-C35E-47F8-B112-6FE646CBC14B}"/>
    <cellStyle name="RISKlightBoxed 7 7 3" xfId="8866" xr:uid="{05DD216D-3AE2-4039-AA32-3261B5742E93}"/>
    <cellStyle name="RISKlightBoxed 7 8" xfId="2528" xr:uid="{5F42519C-1C33-4CC9-82D6-0FC83C24602E}"/>
    <cellStyle name="RISKlightBoxed 7 8 2" xfId="5904" xr:uid="{46263681-9F8F-49E0-B68D-EFD5F56145FA}"/>
    <cellStyle name="RISKlightBoxed 7 8 3" xfId="9096" xr:uid="{238F4908-4A2D-430D-8EF0-62ACFD4784AD}"/>
    <cellStyle name="RISKlightBoxed 7 9" xfId="2767" xr:uid="{E32A3BEF-2252-4570-9C40-AAB52CD539D3}"/>
    <cellStyle name="RISKlightBoxed 7 9 2" xfId="6137" xr:uid="{82C68977-FF7B-4090-8401-27532690454A}"/>
    <cellStyle name="RISKlightBoxed 7 9 3" xfId="9326" xr:uid="{F7D3E6E2-450C-425A-A94F-B122902A1413}"/>
    <cellStyle name="RISKlightBoxed 8" xfId="997" xr:uid="{00000000-0005-0000-0000-0000AA050000}"/>
    <cellStyle name="RISKlightBoxed 8 10" xfId="6898" xr:uid="{4D32EFDF-D93F-449C-8995-BAA5643C6181}"/>
    <cellStyle name="RISKlightBoxed 8 10 2" xfId="10043" xr:uid="{44FDD880-C3E1-4721-A3B6-7CB948990920}"/>
    <cellStyle name="RISKlightBoxed 8 11" xfId="7177" xr:uid="{5A4E81B7-2D73-48F1-8885-D44437815E44}"/>
    <cellStyle name="RISKlightBoxed 8 11 2" xfId="10316" xr:uid="{33B29550-D8E8-4E61-81D2-9B7CBAA3388B}"/>
    <cellStyle name="RISKlightBoxed 8 12" xfId="7501" xr:uid="{EA83BA58-9ACD-479C-9DDE-0F11588E1129}"/>
    <cellStyle name="RISKlightBoxed 8 12 2" xfId="10635" xr:uid="{C0EC2F39-059C-463F-B25F-9A77362BDE6E}"/>
    <cellStyle name="RISKlightBoxed 8 13" xfId="7639" xr:uid="{7F06DEF7-1562-4370-BABB-A4271443D0A4}"/>
    <cellStyle name="RISKlightBoxed 8 13 2" xfId="10772" xr:uid="{88742BB3-0266-4920-86E4-8C6F17036E29}"/>
    <cellStyle name="RISKlightBoxed 8 14" xfId="4523" xr:uid="{F26675D4-A3D4-4DE5-BD9B-C4CF707C88DB}"/>
    <cellStyle name="RISKlightBoxed 8 15" xfId="4308" xr:uid="{26A99A8E-2A08-4AD8-A82F-9CD0BAE08CA1}"/>
    <cellStyle name="RISKlightBoxed 8 16" xfId="11025" xr:uid="{05173915-31DD-404C-8DF2-6023CDAB4141}"/>
    <cellStyle name="RISKlightBoxed 8 17" xfId="11441" xr:uid="{96558AE4-D208-443B-9DAE-9F744FB70DA6}"/>
    <cellStyle name="RISKlightBoxed 8 18" xfId="11590" xr:uid="{4B9C3EEA-B675-46EE-9C94-D343C2BB1875}"/>
    <cellStyle name="RISKlightBoxed 8 19" xfId="11914" xr:uid="{604D5B59-B264-4ED9-BDBC-7E63C3B211AA}"/>
    <cellStyle name="RISKlightBoxed 8 2" xfId="1542" xr:uid="{00000000-0005-0000-0000-0000AB050000}"/>
    <cellStyle name="RISKlightBoxed 8 2 2" xfId="3643" xr:uid="{E6A2AD48-720A-4A4F-94AC-4AE1CD8F4E4D}"/>
    <cellStyle name="RISKlightBoxed 8 2 3" xfId="4951" xr:uid="{DBA605C2-DC0C-4BDD-B905-5F3BF65ED6A2}"/>
    <cellStyle name="RISKlightBoxed 8 2 4" xfId="8158" xr:uid="{EF0A4B9E-2C76-4CDD-A5EC-A461FB04EEE6}"/>
    <cellStyle name="RISKlightBoxed 8 20" xfId="12136" xr:uid="{DFD106D4-E6E2-45FD-9511-54E7F6B50DEB}"/>
    <cellStyle name="RISKlightBoxed 8 21" xfId="12608" xr:uid="{5D30C7CA-B925-48FD-9946-50857883BDF5}"/>
    <cellStyle name="RISKlightBoxed 8 22" xfId="12743" xr:uid="{B7185D43-50B6-4AF6-9ACF-CFFB03135385}"/>
    <cellStyle name="RISKlightBoxed 8 23" xfId="12884" xr:uid="{95ED676D-23DD-4231-84DF-B3E0F171CB37}"/>
    <cellStyle name="RISKlightBoxed 8 24" xfId="13246" xr:uid="{B844D7B7-978F-4E06-9BE1-4397A0778E40}"/>
    <cellStyle name="RISKlightBoxed 8 25" xfId="13375" xr:uid="{48552B00-D002-4F69-9A18-E211A0AF4CEB}"/>
    <cellStyle name="RISKlightBoxed 8 3" xfId="1799" xr:uid="{00000000-0005-0000-0000-0000AC050000}"/>
    <cellStyle name="RISKlightBoxed 8 3 2" xfId="3899" xr:uid="{C89CA451-DBC3-4855-9F07-CBDC4DE33CA9}"/>
    <cellStyle name="RISKlightBoxed 8 3 3" xfId="5203" xr:uid="{AD6F0E60-8995-4CF5-979A-EA19FD2CE701}"/>
    <cellStyle name="RISKlightBoxed 8 3 4" xfId="8397" xr:uid="{16565F98-BE3E-4A40-A657-7FFAD4BE6123}"/>
    <cellStyle name="RISKlightBoxed 8 4" xfId="2053" xr:uid="{00000000-0005-0000-0000-0000AD050000}"/>
    <cellStyle name="RISKlightBoxed 8 4 2" xfId="4143" xr:uid="{05A58D04-A3F5-46BC-85E3-3ADBDBE966F3}"/>
    <cellStyle name="RISKlightBoxed 8 4 3" xfId="5441" xr:uid="{CDCDE510-7B5A-4DBE-82A8-AFDAB1BB3738}"/>
    <cellStyle name="RISKlightBoxed 8 4 4" xfId="8633" xr:uid="{478F33B5-CD87-4E98-9261-73282BD5AFF4}"/>
    <cellStyle name="RISKlightBoxed 8 5" xfId="2295" xr:uid="{AABB0812-DDAB-4757-B347-EAF1F18896AF}"/>
    <cellStyle name="RISKlightBoxed 8 5 2" xfId="5677" xr:uid="{1002146C-41A7-4F3F-855A-07406441478D}"/>
    <cellStyle name="RISKlightBoxed 8 5 3" xfId="8869" xr:uid="{09743841-65D4-405B-B8BF-F711F0EDD832}"/>
    <cellStyle name="RISKlightBoxed 8 6" xfId="2531" xr:uid="{3871C7C2-9C25-466E-8446-5E52A93148AD}"/>
    <cellStyle name="RISKlightBoxed 8 6 2" xfId="5907" xr:uid="{EBB2FA40-7C55-485C-ABA5-8087A9252D62}"/>
    <cellStyle name="RISKlightBoxed 8 6 3" xfId="9099" xr:uid="{02C86719-840A-4573-AACE-6D7899507486}"/>
    <cellStyle name="RISKlightBoxed 8 7" xfId="2770" xr:uid="{22C445CE-AEF9-4A71-B9BA-AF0C4893BB8A}"/>
    <cellStyle name="RISKlightBoxed 8 7 2" xfId="6140" xr:uid="{6AAA9EB6-065B-4CAB-AAE9-91793C92D319}"/>
    <cellStyle name="RISKlightBoxed 8 7 3" xfId="9329" xr:uid="{E68E4C17-CEF1-425C-B70C-C2D919799A4D}"/>
    <cellStyle name="RISKlightBoxed 8 8" xfId="3005" xr:uid="{0DBDB885-471F-4172-9F8C-AAD4AA37B560}"/>
    <cellStyle name="RISKlightBoxed 8 8 2" xfId="6373" xr:uid="{467A13DE-F05B-4A4A-8416-CEC353694E12}"/>
    <cellStyle name="RISKlightBoxed 8 8 3" xfId="9559" xr:uid="{6C8DDA9C-9ECB-46C1-A10F-24D7BB24B337}"/>
    <cellStyle name="RISKlightBoxed 8 9" xfId="3217" xr:uid="{AA845753-0C66-4422-996E-B098DC5446DA}"/>
    <cellStyle name="RISKlightBoxed 8 9 2" xfId="6636" xr:uid="{060CB9CD-4CC9-4202-A32D-D8FBA01C468E}"/>
    <cellStyle name="RISKlightBoxed 8 9 3" xfId="9801" xr:uid="{8D3A1990-21C7-4FDF-B885-AE4ECCE543EA}"/>
    <cellStyle name="RISKlightBoxed 9" xfId="1528" xr:uid="{00000000-0005-0000-0000-0000AE050000}"/>
    <cellStyle name="RISKlightBoxed 9 2" xfId="3629" xr:uid="{1C8E4815-99E7-4E48-986D-1831FAE603E1}"/>
    <cellStyle name="RISKlightBoxed 9 3" xfId="4937" xr:uid="{68116C4E-5420-4E7E-83CD-7BB04412DE5B}"/>
    <cellStyle name="RISKlightBoxed 9 4" xfId="8144" xr:uid="{B1730B30-DD63-47DB-A7FA-7710759E05A5}"/>
    <cellStyle name="RISKltandbEdge" xfId="998" xr:uid="{00000000-0005-0000-0000-0000AF050000}"/>
    <cellStyle name="RISKltandbEdge 10" xfId="1543" xr:uid="{00000000-0005-0000-0000-0000B0050000}"/>
    <cellStyle name="RISKltandbEdge 10 2" xfId="3644" xr:uid="{2F5CD46D-3883-4BDD-8C2F-05F1008B076E}"/>
    <cellStyle name="RISKltandbEdge 10 3" xfId="4952" xr:uid="{51C03194-4813-43CE-9D2A-A110D820BCD0}"/>
    <cellStyle name="RISKltandbEdge 10 4" xfId="8159" xr:uid="{F9D5B678-11E1-4EED-9340-184353C08B6B}"/>
    <cellStyle name="RISKltandbEdge 11" xfId="1800" xr:uid="{00000000-0005-0000-0000-0000B1050000}"/>
    <cellStyle name="RISKltandbEdge 11 2" xfId="3900" xr:uid="{210397E0-4A4A-4566-8421-FDFCAE9D6A21}"/>
    <cellStyle name="RISKltandbEdge 11 3" xfId="5204" xr:uid="{2DA63EF9-088E-40E7-BA87-E5BF73756BFD}"/>
    <cellStyle name="RISKltandbEdge 11 4" xfId="8398" xr:uid="{7E16F0E1-B44D-4E30-9EDF-713D2FA8E483}"/>
    <cellStyle name="RISKltandbEdge 12" xfId="2054" xr:uid="{00000000-0005-0000-0000-0000B2050000}"/>
    <cellStyle name="RISKltandbEdge 12 2" xfId="4144" xr:uid="{9602784A-2AC8-497C-8F5B-6F0BADBBCD87}"/>
    <cellStyle name="RISKltandbEdge 12 3" xfId="5442" xr:uid="{47066113-F963-4F95-BA7F-D08A2158BDBF}"/>
    <cellStyle name="RISKltandbEdge 12 4" xfId="8634" xr:uid="{E2E9E40F-41A1-4D2A-8529-DFB8A9B76B07}"/>
    <cellStyle name="RISKltandbEdge 13" xfId="2296" xr:uid="{6E9362C9-FE05-418B-89DD-AC0D422278A9}"/>
    <cellStyle name="RISKltandbEdge 13 2" xfId="5678" xr:uid="{070C3A2D-F78A-418A-9471-C8947120DC6D}"/>
    <cellStyle name="RISKltandbEdge 13 3" xfId="8870" xr:uid="{30F56C9E-8D63-4666-97C2-046B76D84440}"/>
    <cellStyle name="RISKltandbEdge 14" xfId="2532" xr:uid="{E9C18BD9-68A6-4FEA-B659-850AF8AB3FF4}"/>
    <cellStyle name="RISKltandbEdge 14 2" xfId="5908" xr:uid="{CA9270F5-7E5B-46F0-AA6E-E6EEF909E908}"/>
    <cellStyle name="RISKltandbEdge 14 3" xfId="9100" xr:uid="{48DA93CA-151B-4DE7-BE20-7ED50C9020C1}"/>
    <cellStyle name="RISKltandbEdge 15" xfId="2771" xr:uid="{2120C189-7A5F-4B44-891B-56572F863128}"/>
    <cellStyle name="RISKltandbEdge 15 2" xfId="6141" xr:uid="{6EDEF8E8-063F-4C95-A898-06743F4BB1B8}"/>
    <cellStyle name="RISKltandbEdge 15 3" xfId="9330" xr:uid="{FBF0A4FE-1DB3-4D66-B8CC-1C6FA78B8E4C}"/>
    <cellStyle name="RISKltandbEdge 16" xfId="3218" xr:uid="{3F73F9DC-9A22-4FD2-8191-9F3E13B001BD}"/>
    <cellStyle name="RISKltandbEdge 16 2" xfId="6374" xr:uid="{8462E124-8581-4082-92CF-EF04ED9881D5}"/>
    <cellStyle name="RISKltandbEdge 16 3" xfId="9560" xr:uid="{89356764-0991-428C-A4B1-D79FA9B979CE}"/>
    <cellStyle name="RISKltandbEdge 17" xfId="6637" xr:uid="{25AD5F1D-1630-4F32-952B-AACF9608F460}"/>
    <cellStyle name="RISKltandbEdge 17 2" xfId="9802" xr:uid="{64A543E3-C49A-4EEF-96A5-63C1C0D12ACF}"/>
    <cellStyle name="RISKltandbEdge 18" xfId="6899" xr:uid="{00328FC4-4428-4253-9628-CEBB0D13D9FC}"/>
    <cellStyle name="RISKltandbEdge 18 2" xfId="10044" xr:uid="{8B8766F2-A3F4-4C5A-99CF-0B7F31D08CF8}"/>
    <cellStyle name="RISKltandbEdge 19" xfId="7032" xr:uid="{0845BF6F-73F5-4437-B834-E318567A0285}"/>
    <cellStyle name="RISKltandbEdge 19 2" xfId="10177" xr:uid="{BE0CB32D-520C-4278-B39E-819949B08EB7}"/>
    <cellStyle name="RISKltandbEdge 2" xfId="999" xr:uid="{00000000-0005-0000-0000-0000B3050000}"/>
    <cellStyle name="RISKltandbEdge 2 10" xfId="3219" xr:uid="{D0DE98CF-50C8-41F6-B73C-76F0CE93CDA0}"/>
    <cellStyle name="RISKltandbEdge 2 10 2" xfId="6375" xr:uid="{6B012412-75CB-4CAC-8F5C-D340EED15DDA}"/>
    <cellStyle name="RISKltandbEdge 2 10 3" xfId="9561" xr:uid="{4DFDE16F-6D1B-44C6-A6B5-87CBDAD5BFDC}"/>
    <cellStyle name="RISKltandbEdge 2 11" xfId="6638" xr:uid="{84F8FA3B-C0A5-461A-AC79-E23184B72C0E}"/>
    <cellStyle name="RISKltandbEdge 2 11 2" xfId="9803" xr:uid="{01092D8C-A6D4-43E9-9D4B-2B26065A1F18}"/>
    <cellStyle name="RISKltandbEdge 2 12" xfId="6900" xr:uid="{0304A448-8602-417B-AC1F-9EB77BF7EFA9}"/>
    <cellStyle name="RISKltandbEdge 2 12 2" xfId="10045" xr:uid="{B2BD9C23-911A-46B3-BB3D-76F66AC891AF}"/>
    <cellStyle name="RISKltandbEdge 2 13" xfId="7033" xr:uid="{1959C1CC-0B7D-4304-A6E6-94726BA2D8EE}"/>
    <cellStyle name="RISKltandbEdge 2 13 2" xfId="10178" xr:uid="{9D79BC2D-AD1D-429E-81D0-90109AF37AEA}"/>
    <cellStyle name="RISKltandbEdge 2 14" xfId="7503" xr:uid="{E327B299-8808-4891-8496-ADF9365F6DD8}"/>
    <cellStyle name="RISKltandbEdge 2 14 2" xfId="10637" xr:uid="{A1BAF758-B0CA-4E0A-A8D5-5BF9121BF77E}"/>
    <cellStyle name="RISKltandbEdge 2 15" xfId="7641" xr:uid="{25A638E8-327D-421E-AF54-78EA45DAC817}"/>
    <cellStyle name="RISKltandbEdge 2 15 2" xfId="10774" xr:uid="{D5D4F7CB-E7A5-4AD8-B5A7-ACD536B41397}"/>
    <cellStyle name="RISKltandbEdge 2 16" xfId="4525" xr:uid="{C2A4B765-623F-46C3-A6B4-6D681B55C25F}"/>
    <cellStyle name="RISKltandbEdge 2 17" xfId="4306" xr:uid="{FEE7B846-53EB-407A-9A59-88D8C4E3AC6B}"/>
    <cellStyle name="RISKltandbEdge 2 18" xfId="11027" xr:uid="{7CFE8BE2-BCF5-47B3-8161-9962E519D7D0}"/>
    <cellStyle name="RISKltandbEdge 2 19" xfId="11443" xr:uid="{1A5787C2-2F7A-4F61-8120-EFA21D760F38}"/>
    <cellStyle name="RISKltandbEdge 2 2" xfId="1000" xr:uid="{00000000-0005-0000-0000-0000B4050000}"/>
    <cellStyle name="RISKltandbEdge 2 2 10" xfId="6639" xr:uid="{D37EFBD8-28FA-462C-8EEF-08F411A2EC83}"/>
    <cellStyle name="RISKltandbEdge 2 2 10 2" xfId="9804" xr:uid="{F8C739D3-F10E-46DB-AF42-D372030A6ED3}"/>
    <cellStyle name="RISKltandbEdge 2 2 11" xfId="6901" xr:uid="{A248DAD6-3454-46F0-BB08-250A2EFDE82E}"/>
    <cellStyle name="RISKltandbEdge 2 2 11 2" xfId="10046" xr:uid="{01FDD8A1-C824-43FB-A081-6D471D3D0BDA}"/>
    <cellStyle name="RISKltandbEdge 2 2 12" xfId="7034" xr:uid="{E7E608D6-0398-4C57-87A4-41035DA513A1}"/>
    <cellStyle name="RISKltandbEdge 2 2 12 2" xfId="10179" xr:uid="{8D5FFB51-B67A-4763-80A8-0AEA10DB186B}"/>
    <cellStyle name="RISKltandbEdge 2 2 13" xfId="7504" xr:uid="{D4B901F7-70C9-4B88-BDDB-EBC982FEF9D8}"/>
    <cellStyle name="RISKltandbEdge 2 2 13 2" xfId="10638" xr:uid="{2FADD7B0-28EE-4BDF-9A98-6849324245E1}"/>
    <cellStyle name="RISKltandbEdge 2 2 14" xfId="7642" xr:uid="{DD39A80A-7B37-4A89-859E-295896875989}"/>
    <cellStyle name="RISKltandbEdge 2 2 14 2" xfId="10775" xr:uid="{5E53F259-7595-4936-BD4F-C05D3C9A939D}"/>
    <cellStyle name="RISKltandbEdge 2 2 15" xfId="4526" xr:uid="{9D0383F5-8C53-478B-84B9-743004478283}"/>
    <cellStyle name="RISKltandbEdge 2 2 16" xfId="4305" xr:uid="{91CFB2A0-1D03-4F9E-9D26-E30DB18880B0}"/>
    <cellStyle name="RISKltandbEdge 2 2 17" xfId="11028" xr:uid="{092B15FC-B4C2-4733-91BD-BD03D7A11953}"/>
    <cellStyle name="RISKltandbEdge 2 2 18" xfId="11444" xr:uid="{3BAAE8F4-FEE5-44BC-8DF0-82CBA1C2EBFF}"/>
    <cellStyle name="RISKltandbEdge 2 2 19" xfId="11593" xr:uid="{80A98073-8B2A-4BA8-9202-B412930C6681}"/>
    <cellStyle name="RISKltandbEdge 2 2 2" xfId="1326" xr:uid="{00000000-0005-0000-0000-0000B5050000}"/>
    <cellStyle name="RISKltandbEdge 2 2 2 2" xfId="3437" xr:uid="{2CB720FF-D953-4D50-B2A4-7C1AABFFB99A}"/>
    <cellStyle name="RISKltandbEdge 2 2 2 3" xfId="4743" xr:uid="{0A5A0429-75DF-4D47-A63F-C68F961D8324}"/>
    <cellStyle name="RISKltandbEdge 2 2 2 4" xfId="7953" xr:uid="{C3D69289-0A80-49D7-BA16-2C4F67DDACDB}"/>
    <cellStyle name="RISKltandbEdge 2 2 20" xfId="11727" xr:uid="{ADA59C02-4F03-454A-BB78-ECB07F2634C9}"/>
    <cellStyle name="RISKltandbEdge 2 2 21" xfId="12139" xr:uid="{618FA074-87DF-41D5-9498-9A114AEA823F}"/>
    <cellStyle name="RISKltandbEdge 2 2 22" xfId="12746" xr:uid="{50EC9BD4-4462-4942-9E6F-CC1DDC4E0CA2}"/>
    <cellStyle name="RISKltandbEdge 2 2 23" xfId="12887" xr:uid="{0FB9D11A-C501-4862-BAF9-65A37DDC9F89}"/>
    <cellStyle name="RISKltandbEdge 2 2 24" xfId="13249" xr:uid="{7FF9F7E5-20F8-4713-B689-315EBE69D2FA}"/>
    <cellStyle name="RISKltandbEdge 2 2 25" xfId="13378" xr:uid="{601D9C4D-D0A9-48D6-9E14-7B0C22C47747}"/>
    <cellStyle name="RISKltandbEdge 2 2 3" xfId="1545" xr:uid="{00000000-0005-0000-0000-0000B6050000}"/>
    <cellStyle name="RISKltandbEdge 2 2 3 2" xfId="3646" xr:uid="{987A904A-F82C-4362-B993-DFE95A866004}"/>
    <cellStyle name="RISKltandbEdge 2 2 3 3" xfId="4954" xr:uid="{F986F36D-7876-42F5-866C-2715B79F6040}"/>
    <cellStyle name="RISKltandbEdge 2 2 3 4" xfId="8161" xr:uid="{C0EA1D6F-119A-4ECA-865A-E1D64876E087}"/>
    <cellStyle name="RISKltandbEdge 2 2 4" xfId="1802" xr:uid="{00000000-0005-0000-0000-0000B7050000}"/>
    <cellStyle name="RISKltandbEdge 2 2 4 2" xfId="3902" xr:uid="{32DA8D2C-FA42-4B98-B1D6-051BDA8B2870}"/>
    <cellStyle name="RISKltandbEdge 2 2 4 3" xfId="5206" xr:uid="{9584B724-E800-4052-A229-2982C1271D53}"/>
    <cellStyle name="RISKltandbEdge 2 2 4 4" xfId="8400" xr:uid="{96036FF0-C7D6-4D88-9DBB-3E1F0FE168A4}"/>
    <cellStyle name="RISKltandbEdge 2 2 5" xfId="2056" xr:uid="{00000000-0005-0000-0000-0000B8050000}"/>
    <cellStyle name="RISKltandbEdge 2 2 5 2" xfId="4146" xr:uid="{9963B54A-A7E3-42C4-823C-11FD27B697A0}"/>
    <cellStyle name="RISKltandbEdge 2 2 5 3" xfId="5444" xr:uid="{E07C476E-802A-42FF-A724-7686F00ABA91}"/>
    <cellStyle name="RISKltandbEdge 2 2 5 4" xfId="8636" xr:uid="{A063AE3A-4AB8-4870-84DC-B292DD18AB5A}"/>
    <cellStyle name="RISKltandbEdge 2 2 6" xfId="2298" xr:uid="{A3C2E044-C7FB-4C8A-921A-F59948064336}"/>
    <cellStyle name="RISKltandbEdge 2 2 6 2" xfId="5680" xr:uid="{7A3F9D77-81BC-4E83-9856-DF1B8FD4BE88}"/>
    <cellStyle name="RISKltandbEdge 2 2 6 3" xfId="8872" xr:uid="{086D13F2-870C-49D2-A94E-FBB8A4032A2A}"/>
    <cellStyle name="RISKltandbEdge 2 2 7" xfId="2534" xr:uid="{73F30BAF-D260-436B-9D1F-70FFFE7F9AF7}"/>
    <cellStyle name="RISKltandbEdge 2 2 7 2" xfId="5910" xr:uid="{D5247969-B077-4346-8153-2E78AF88446F}"/>
    <cellStyle name="RISKltandbEdge 2 2 7 3" xfId="9102" xr:uid="{7B605001-D536-4EFC-842C-C8DC938FC3C6}"/>
    <cellStyle name="RISKltandbEdge 2 2 8" xfId="2773" xr:uid="{C9167C8D-5567-4248-BA92-C75BB61D95AB}"/>
    <cellStyle name="RISKltandbEdge 2 2 8 2" xfId="6143" xr:uid="{52B7E4CB-E0A2-45CE-83A2-8320676EC873}"/>
    <cellStyle name="RISKltandbEdge 2 2 8 3" xfId="9332" xr:uid="{1B182611-9710-415A-9BA6-9C790989921B}"/>
    <cellStyle name="RISKltandbEdge 2 2 9" xfId="3220" xr:uid="{9A872E29-6A06-4CD7-B0BA-DC3CD409E1EA}"/>
    <cellStyle name="RISKltandbEdge 2 2 9 2" xfId="6376" xr:uid="{7AC8B761-D313-4F87-BD1A-334539F31395}"/>
    <cellStyle name="RISKltandbEdge 2 2 9 3" xfId="9562" xr:uid="{3C8523BA-39C6-4638-AA71-6C7E2B8A7BE2}"/>
    <cellStyle name="RISKltandbEdge 2 20" xfId="11592" xr:uid="{77177542-6879-4461-B213-F87D924BD652}"/>
    <cellStyle name="RISKltandbEdge 2 21" xfId="11726" xr:uid="{65CBE4DC-20BF-4338-BAF4-652FBF517EC0}"/>
    <cellStyle name="RISKltandbEdge 2 22" xfId="12138" xr:uid="{0922F444-2D75-4A0F-A1CC-322AF35CCC95}"/>
    <cellStyle name="RISKltandbEdge 2 23" xfId="12745" xr:uid="{D3B7E9CF-FB52-4C3B-B6A2-F255C097C289}"/>
    <cellStyle name="RISKltandbEdge 2 24" xfId="12886" xr:uid="{22687475-F55F-45E9-B3C6-5C15E106DED4}"/>
    <cellStyle name="RISKltandbEdge 2 25" xfId="13248" xr:uid="{37D8C62A-0C8B-47D0-B503-D848B0756F41}"/>
    <cellStyle name="RISKltandbEdge 2 26" xfId="13377" xr:uid="{2E071351-0161-46F8-9024-3AF8D2AD1FFD}"/>
    <cellStyle name="RISKltandbEdge 2 3" xfId="1325" xr:uid="{00000000-0005-0000-0000-0000B9050000}"/>
    <cellStyle name="RISKltandbEdge 2 3 2" xfId="3436" xr:uid="{71A67259-DB9D-4909-92E0-69C8BE98E944}"/>
    <cellStyle name="RISKltandbEdge 2 3 3" xfId="4742" xr:uid="{AD671993-589E-42A0-9F4D-7E8106AA8F0A}"/>
    <cellStyle name="RISKltandbEdge 2 3 4" xfId="7952" xr:uid="{854DCAE4-192E-48D5-B59C-90A8966725A8}"/>
    <cellStyle name="RISKltandbEdge 2 4" xfId="1544" xr:uid="{00000000-0005-0000-0000-0000BA050000}"/>
    <cellStyle name="RISKltandbEdge 2 4 2" xfId="3645" xr:uid="{56FEECA4-DB4A-41DA-9B7E-D3631F693D7A}"/>
    <cellStyle name="RISKltandbEdge 2 4 3" xfId="4953" xr:uid="{7AE11DCF-498A-4701-A63B-84A7BAD1A45B}"/>
    <cellStyle name="RISKltandbEdge 2 4 4" xfId="8160" xr:uid="{DDB6CCCC-5040-402E-B8F1-4F6B462D4BF2}"/>
    <cellStyle name="RISKltandbEdge 2 5" xfId="1801" xr:uid="{00000000-0005-0000-0000-0000BB050000}"/>
    <cellStyle name="RISKltandbEdge 2 5 2" xfId="3901" xr:uid="{0AEBAFED-5496-47F3-B873-9DAD429DD6FB}"/>
    <cellStyle name="RISKltandbEdge 2 5 3" xfId="5205" xr:uid="{024EC13A-1D68-493B-8D66-DAAE66D4BF14}"/>
    <cellStyle name="RISKltandbEdge 2 5 4" xfId="8399" xr:uid="{F2058812-7104-4EF5-96EC-557F0EF1FF78}"/>
    <cellStyle name="RISKltandbEdge 2 6" xfId="2055" xr:uid="{00000000-0005-0000-0000-0000BC050000}"/>
    <cellStyle name="RISKltandbEdge 2 6 2" xfId="4145" xr:uid="{6CC5ADD3-EDD7-4681-AB2E-4914C8573443}"/>
    <cellStyle name="RISKltandbEdge 2 6 3" xfId="5443" xr:uid="{E6E3FB2E-A177-4E27-933F-2F778E3589E3}"/>
    <cellStyle name="RISKltandbEdge 2 6 4" xfId="8635" xr:uid="{E46FCC02-132C-481F-A17F-D722462E15DB}"/>
    <cellStyle name="RISKltandbEdge 2 7" xfId="2297" xr:uid="{8A0C0049-BC7C-4639-9493-DD4310404232}"/>
    <cellStyle name="RISKltandbEdge 2 7 2" xfId="5679" xr:uid="{FF7525DE-430D-47F9-B29F-EAB914EB92A2}"/>
    <cellStyle name="RISKltandbEdge 2 7 3" xfId="8871" xr:uid="{3897D217-A59E-4510-8401-2CF7347DFCE2}"/>
    <cellStyle name="RISKltandbEdge 2 8" xfId="2533" xr:uid="{98186508-8A0D-488B-BA5B-CCCF3680420C}"/>
    <cellStyle name="RISKltandbEdge 2 8 2" xfId="5909" xr:uid="{73209500-7EE6-4E1C-BAC1-ECC59496295B}"/>
    <cellStyle name="RISKltandbEdge 2 8 3" xfId="9101" xr:uid="{7786C671-7DDD-4824-95B4-CB8E87BC97CC}"/>
    <cellStyle name="RISKltandbEdge 2 9" xfId="2772" xr:uid="{375430CC-E061-4BA1-BF04-680B9276225C}"/>
    <cellStyle name="RISKltandbEdge 2 9 2" xfId="6142" xr:uid="{A829CFFA-2305-4D2F-A3DC-A8B1AE6F43F6}"/>
    <cellStyle name="RISKltandbEdge 2 9 3" xfId="9331" xr:uid="{A6850322-FD9B-496D-B558-203C0CD8602E}"/>
    <cellStyle name="RISKltandbEdge 20" xfId="7502" xr:uid="{5DF5047A-B8AA-4090-931D-BFB9F1D4A082}"/>
    <cellStyle name="RISKltandbEdge 20 2" xfId="10636" xr:uid="{8565E692-CF5D-481F-9694-228E454D0DDA}"/>
    <cellStyle name="RISKltandbEdge 21" xfId="7640" xr:uid="{8398F771-2151-4AF9-941C-B6C417CE67BD}"/>
    <cellStyle name="RISKltandbEdge 21 2" xfId="10773" xr:uid="{ABB0D661-D286-4135-AED6-14A3B85CC769}"/>
    <cellStyle name="RISKltandbEdge 22" xfId="4524" xr:uid="{A4985CB5-2579-401E-A80E-171D28EB1A0F}"/>
    <cellStyle name="RISKltandbEdge 23" xfId="4307" xr:uid="{BDB42164-6B8A-4D6B-BE58-A273845C140E}"/>
    <cellStyle name="RISKltandbEdge 24" xfId="11026" xr:uid="{F249497E-E9C8-42FC-9DB1-B5EF599C671E}"/>
    <cellStyle name="RISKltandbEdge 25" xfId="11442" xr:uid="{A65652F7-ECF9-4378-A52E-3D460E470EED}"/>
    <cellStyle name="RISKltandbEdge 26" xfId="11591" xr:uid="{AD5D12BD-6311-411D-B6FF-84E729C3F5B4}"/>
    <cellStyle name="RISKltandbEdge 27" xfId="11725" xr:uid="{F4BD356C-842A-4B0F-9454-C9A7A0216F98}"/>
    <cellStyle name="RISKltandbEdge 28" xfId="12137" xr:uid="{D862AFDE-5192-4B4D-9458-351FFF05C413}"/>
    <cellStyle name="RISKltandbEdge 29" xfId="12744" xr:uid="{27B548F0-B2DC-4AD1-87C6-1E9E557E508C}"/>
    <cellStyle name="RISKltandbEdge 3" xfId="1001" xr:uid="{00000000-0005-0000-0000-0000BD050000}"/>
    <cellStyle name="RISKltandbEdge 3 10" xfId="3221" xr:uid="{7F05ABEF-8134-4D67-9BF8-6A3D9E3CB73F}"/>
    <cellStyle name="RISKltandbEdge 3 10 2" xfId="6377" xr:uid="{E02D1B5A-FC61-4F24-9B7B-3305FFBC79CB}"/>
    <cellStyle name="RISKltandbEdge 3 10 3" xfId="9563" xr:uid="{76ED4AB7-2FE6-4AE1-9B61-17BBC6878D2F}"/>
    <cellStyle name="RISKltandbEdge 3 11" xfId="6640" xr:uid="{0011F323-CA72-48F5-9A52-F0F89E0869A8}"/>
    <cellStyle name="RISKltandbEdge 3 11 2" xfId="9805" xr:uid="{E6A1CBB4-18D1-43B0-A441-FF95EE4912A2}"/>
    <cellStyle name="RISKltandbEdge 3 12" xfId="6902" xr:uid="{8842A762-5D70-4F47-8D9F-7A93E7967A2A}"/>
    <cellStyle name="RISKltandbEdge 3 12 2" xfId="10047" xr:uid="{F6D2D42A-340B-4647-8F8C-BE7D8F73DEE9}"/>
    <cellStyle name="RISKltandbEdge 3 13" xfId="7035" xr:uid="{A4DEE5E5-BC55-43D0-9CC3-CD0C5D6D5C20}"/>
    <cellStyle name="RISKltandbEdge 3 13 2" xfId="10180" xr:uid="{5474B077-36E7-4D1A-BE31-F490B57C3BAF}"/>
    <cellStyle name="RISKltandbEdge 3 14" xfId="7505" xr:uid="{452A0750-90CB-464E-9308-649C87745C2C}"/>
    <cellStyle name="RISKltandbEdge 3 14 2" xfId="10639" xr:uid="{0689F3DC-B4E8-4B34-895E-7DA4631A1C62}"/>
    <cellStyle name="RISKltandbEdge 3 15" xfId="7643" xr:uid="{4875841C-A3C0-4F19-9480-53303C3D6E11}"/>
    <cellStyle name="RISKltandbEdge 3 15 2" xfId="10776" xr:uid="{C55533ED-67FA-4A38-ABB2-334E58BF4868}"/>
    <cellStyle name="RISKltandbEdge 3 16" xfId="4527" xr:uid="{87643A3C-F762-4595-AC54-0DA116AD7E6B}"/>
    <cellStyle name="RISKltandbEdge 3 17" xfId="4304" xr:uid="{E92A4831-4988-4CB1-8EA2-8BA8289BEC56}"/>
    <cellStyle name="RISKltandbEdge 3 18" xfId="11029" xr:uid="{320817CA-32F6-4035-866F-842176A1B75C}"/>
    <cellStyle name="RISKltandbEdge 3 19" xfId="11445" xr:uid="{064B1844-2B9F-4226-B19B-CA6794B186B5}"/>
    <cellStyle name="RISKltandbEdge 3 2" xfId="1002" xr:uid="{00000000-0005-0000-0000-0000BE050000}"/>
    <cellStyle name="RISKltandbEdge 3 2 10" xfId="6641" xr:uid="{6911BE5E-5B88-461A-A0FA-B492AD9652DE}"/>
    <cellStyle name="RISKltandbEdge 3 2 10 2" xfId="9806" xr:uid="{BD0F844E-A69E-4D2E-A92D-DDC85ECD026D}"/>
    <cellStyle name="RISKltandbEdge 3 2 11" xfId="6903" xr:uid="{DCCFF381-4A9E-42E2-9544-EE0AD85AD723}"/>
    <cellStyle name="RISKltandbEdge 3 2 11 2" xfId="10048" xr:uid="{4558541C-BB23-4A86-82E7-9C92330C9A1D}"/>
    <cellStyle name="RISKltandbEdge 3 2 12" xfId="7036" xr:uid="{F8A66462-4423-471C-90A6-F79EFE07B3A0}"/>
    <cellStyle name="RISKltandbEdge 3 2 12 2" xfId="10181" xr:uid="{CDAAD171-6C52-4D4E-BEBF-67A60F7A04FD}"/>
    <cellStyle name="RISKltandbEdge 3 2 13" xfId="7506" xr:uid="{0580BCBE-095F-4298-8CE6-0F710F75D06A}"/>
    <cellStyle name="RISKltandbEdge 3 2 13 2" xfId="10640" xr:uid="{D55A9858-39C8-4920-98C2-E4CF7B4DFB58}"/>
    <cellStyle name="RISKltandbEdge 3 2 14" xfId="7644" xr:uid="{424F665F-D8C1-460D-A7AC-AF7936FEB09E}"/>
    <cellStyle name="RISKltandbEdge 3 2 14 2" xfId="10777" xr:uid="{876BE76E-DC5A-4532-87C6-4C103EF1D439}"/>
    <cellStyle name="RISKltandbEdge 3 2 15" xfId="4528" xr:uid="{6FA835FE-3518-4C79-B898-A2433D870CF9}"/>
    <cellStyle name="RISKltandbEdge 3 2 16" xfId="4303" xr:uid="{A2E0D166-6AE9-487B-80FC-D61E22CD3A04}"/>
    <cellStyle name="RISKltandbEdge 3 2 17" xfId="11030" xr:uid="{9E28EF54-39B9-4AB2-AA7F-5AF497EA4BD4}"/>
    <cellStyle name="RISKltandbEdge 3 2 18" xfId="11446" xr:uid="{ACB7DEE0-B8FE-455F-AA71-42EC16D3A551}"/>
    <cellStyle name="RISKltandbEdge 3 2 19" xfId="11595" xr:uid="{C6B196F6-7E45-4D69-8CD8-64F45935631C}"/>
    <cellStyle name="RISKltandbEdge 3 2 2" xfId="1328" xr:uid="{00000000-0005-0000-0000-0000BF050000}"/>
    <cellStyle name="RISKltandbEdge 3 2 2 2" xfId="3439" xr:uid="{64156FD5-024A-485D-8C1F-1687F2C5D0B6}"/>
    <cellStyle name="RISKltandbEdge 3 2 2 3" xfId="4745" xr:uid="{406B3AF4-59FC-4790-BCA3-FABC5BC682C8}"/>
    <cellStyle name="RISKltandbEdge 3 2 2 4" xfId="7955" xr:uid="{7951BECA-11D2-4BAB-8A7F-4EF1D9493D8C}"/>
    <cellStyle name="RISKltandbEdge 3 2 20" xfId="11729" xr:uid="{B1C06D29-22A6-4ACA-8F43-7DB600B0EFC8}"/>
    <cellStyle name="RISKltandbEdge 3 2 21" xfId="12141" xr:uid="{46F1C483-C1C6-4110-9F9D-A8D927FC7B6B}"/>
    <cellStyle name="RISKltandbEdge 3 2 22" xfId="12748" xr:uid="{37005DB7-69A0-45CA-B4F0-81A2FF060F86}"/>
    <cellStyle name="RISKltandbEdge 3 2 23" xfId="12889" xr:uid="{335CD059-D0CD-4D94-A4FC-337127FBD10C}"/>
    <cellStyle name="RISKltandbEdge 3 2 24" xfId="13251" xr:uid="{35635D8C-1E30-44AC-A755-1E9BA13F7F6C}"/>
    <cellStyle name="RISKltandbEdge 3 2 25" xfId="13380" xr:uid="{DD85E131-5483-4F76-94D5-72294D1E0BEE}"/>
    <cellStyle name="RISKltandbEdge 3 2 3" xfId="1547" xr:uid="{00000000-0005-0000-0000-0000C0050000}"/>
    <cellStyle name="RISKltandbEdge 3 2 3 2" xfId="3648" xr:uid="{AFC57086-945F-4BD6-BF4C-0684A3054A6A}"/>
    <cellStyle name="RISKltandbEdge 3 2 3 3" xfId="4956" xr:uid="{D5E7B764-C90D-4733-9CA5-EA8EFCB4EA2B}"/>
    <cellStyle name="RISKltandbEdge 3 2 3 4" xfId="8163" xr:uid="{81388EE2-F4BA-41E3-AE33-DCC91F022CEE}"/>
    <cellStyle name="RISKltandbEdge 3 2 4" xfId="1804" xr:uid="{00000000-0005-0000-0000-0000C1050000}"/>
    <cellStyle name="RISKltandbEdge 3 2 4 2" xfId="3904" xr:uid="{CF92ECD7-DAAA-4342-96FF-15A46C092CE8}"/>
    <cellStyle name="RISKltandbEdge 3 2 4 3" xfId="5208" xr:uid="{95F9C46A-45C1-4553-9440-A3FDAB0BC521}"/>
    <cellStyle name="RISKltandbEdge 3 2 4 4" xfId="8402" xr:uid="{3AAE9A8B-CF93-4C1A-A182-FB65B3E82458}"/>
    <cellStyle name="RISKltandbEdge 3 2 5" xfId="2058" xr:uid="{00000000-0005-0000-0000-0000C2050000}"/>
    <cellStyle name="RISKltandbEdge 3 2 5 2" xfId="4148" xr:uid="{6ADDFC3F-EA21-49F8-B96B-96AA80A95460}"/>
    <cellStyle name="RISKltandbEdge 3 2 5 3" xfId="5446" xr:uid="{014FD4F5-A43E-4E61-8BC7-3EAF74804A03}"/>
    <cellStyle name="RISKltandbEdge 3 2 5 4" xfId="8638" xr:uid="{5BA1DCC4-90A3-4942-AEA6-D55C6BFD8AD7}"/>
    <cellStyle name="RISKltandbEdge 3 2 6" xfId="2300" xr:uid="{F3927662-2E1D-4739-A987-A2E63FF8D919}"/>
    <cellStyle name="RISKltandbEdge 3 2 6 2" xfId="5682" xr:uid="{385D15B0-BC75-42BC-A26E-1DA57761F074}"/>
    <cellStyle name="RISKltandbEdge 3 2 6 3" xfId="8874" xr:uid="{AF8375D8-F99C-477D-A0F9-EA49428D0F53}"/>
    <cellStyle name="RISKltandbEdge 3 2 7" xfId="2536" xr:uid="{1161C9F4-F1BE-42A4-AF0E-F7D172AE5342}"/>
    <cellStyle name="RISKltandbEdge 3 2 7 2" xfId="5912" xr:uid="{A58020FC-DBB7-4738-9CA2-9B6DD27B1D26}"/>
    <cellStyle name="RISKltandbEdge 3 2 7 3" xfId="9104" xr:uid="{8AD450B2-6DF7-4F0C-ABFB-D187428A93D1}"/>
    <cellStyle name="RISKltandbEdge 3 2 8" xfId="2775" xr:uid="{DFC4B116-5F39-4338-B730-9E4F504067BC}"/>
    <cellStyle name="RISKltandbEdge 3 2 8 2" xfId="6145" xr:uid="{317E00CC-8317-4DF0-B1D9-BCAA24031829}"/>
    <cellStyle name="RISKltandbEdge 3 2 8 3" xfId="9334" xr:uid="{87B13F97-C34B-4654-8406-BAD64B0C0035}"/>
    <cellStyle name="RISKltandbEdge 3 2 9" xfId="3222" xr:uid="{B1B76D66-3D77-4FA7-996C-65F272446B85}"/>
    <cellStyle name="RISKltandbEdge 3 2 9 2" xfId="6378" xr:uid="{6D9D3304-F1D9-4D55-953D-C9BE2C93737F}"/>
    <cellStyle name="RISKltandbEdge 3 2 9 3" xfId="9564" xr:uid="{4F5682BE-627C-4482-9220-31B932074764}"/>
    <cellStyle name="RISKltandbEdge 3 20" xfId="11594" xr:uid="{3A1E0EBC-7520-458E-A902-540B415F5048}"/>
    <cellStyle name="RISKltandbEdge 3 21" xfId="11728" xr:uid="{103C812F-C6BD-4C68-A9BE-BE1C04A2C99C}"/>
    <cellStyle name="RISKltandbEdge 3 22" xfId="12140" xr:uid="{9ECF89C3-320C-4DF3-8C16-7CC30A1275A9}"/>
    <cellStyle name="RISKltandbEdge 3 23" xfId="12747" xr:uid="{3DBE68CE-A721-460C-85AA-AF4066F3CA8A}"/>
    <cellStyle name="RISKltandbEdge 3 24" xfId="12888" xr:uid="{ACDD622D-AC22-4CF8-8A1E-AA72F329C097}"/>
    <cellStyle name="RISKltandbEdge 3 25" xfId="13250" xr:uid="{ADB4DA73-FD2F-438B-905D-08C54246FB55}"/>
    <cellStyle name="RISKltandbEdge 3 26" xfId="13379" xr:uid="{AFC5DE46-3542-4639-8FC7-C35749B7E3E5}"/>
    <cellStyle name="RISKltandbEdge 3 3" xfId="1327" xr:uid="{00000000-0005-0000-0000-0000C3050000}"/>
    <cellStyle name="RISKltandbEdge 3 3 2" xfId="3438" xr:uid="{DC9C6E95-21D5-4F85-ACC4-99EEE8515993}"/>
    <cellStyle name="RISKltandbEdge 3 3 3" xfId="4744" xr:uid="{00B4D66C-F7C2-47E3-B9D4-1D6FC0806E66}"/>
    <cellStyle name="RISKltandbEdge 3 3 4" xfId="7954" xr:uid="{85D536BF-2764-4B16-84A7-F80734A27BE3}"/>
    <cellStyle name="RISKltandbEdge 3 4" xfId="1546" xr:uid="{00000000-0005-0000-0000-0000C4050000}"/>
    <cellStyle name="RISKltandbEdge 3 4 2" xfId="3647" xr:uid="{4E1B0678-E0C3-4198-BEB7-1B4A9CF78F4F}"/>
    <cellStyle name="RISKltandbEdge 3 4 3" xfId="4955" xr:uid="{37621993-E788-412F-BDC6-4A2F05840789}"/>
    <cellStyle name="RISKltandbEdge 3 4 4" xfId="8162" xr:uid="{5EC8A3B5-00D7-4F76-83F2-F13640841F37}"/>
    <cellStyle name="RISKltandbEdge 3 5" xfId="1803" xr:uid="{00000000-0005-0000-0000-0000C5050000}"/>
    <cellStyle name="RISKltandbEdge 3 5 2" xfId="3903" xr:uid="{06558266-C674-4718-B4DF-1311C27B8847}"/>
    <cellStyle name="RISKltandbEdge 3 5 3" xfId="5207" xr:uid="{31BF370E-883B-4798-BA5C-F6AAFE1952FD}"/>
    <cellStyle name="RISKltandbEdge 3 5 4" xfId="8401" xr:uid="{5BF24DE3-CD9F-46DA-B955-B10EEF6F673B}"/>
    <cellStyle name="RISKltandbEdge 3 6" xfId="2057" xr:uid="{00000000-0005-0000-0000-0000C6050000}"/>
    <cellStyle name="RISKltandbEdge 3 6 2" xfId="4147" xr:uid="{5379876D-BF9A-46B7-B3E3-E9A0B06ACE86}"/>
    <cellStyle name="RISKltandbEdge 3 6 3" xfId="5445" xr:uid="{5EEDC781-3A8E-4C29-A949-9264D2ED3E2F}"/>
    <cellStyle name="RISKltandbEdge 3 6 4" xfId="8637" xr:uid="{26BE79B3-C12C-49F1-B7CD-251B7822D3F7}"/>
    <cellStyle name="RISKltandbEdge 3 7" xfId="2299" xr:uid="{61FB16E4-105D-4FFE-8854-6F39C6BA634D}"/>
    <cellStyle name="RISKltandbEdge 3 7 2" xfId="5681" xr:uid="{E9F44016-7331-4956-9BC3-B3663B69F9FB}"/>
    <cellStyle name="RISKltandbEdge 3 7 3" xfId="8873" xr:uid="{7805B137-9C20-4FA3-9809-C49780BBCAB0}"/>
    <cellStyle name="RISKltandbEdge 3 8" xfId="2535" xr:uid="{006A6C6E-0FDA-4F0C-B227-6172D9C7233F}"/>
    <cellStyle name="RISKltandbEdge 3 8 2" xfId="5911" xr:uid="{4209F5F1-2344-40B5-BF32-D4A20C86CAA7}"/>
    <cellStyle name="RISKltandbEdge 3 8 3" xfId="9103" xr:uid="{5F795412-AD25-4339-A24F-5A3DF4FDF124}"/>
    <cellStyle name="RISKltandbEdge 3 9" xfId="2774" xr:uid="{961C194E-8932-4F00-AD46-E0BE28FBEB94}"/>
    <cellStyle name="RISKltandbEdge 3 9 2" xfId="6144" xr:uid="{2B2B299E-147A-4B86-8BA5-BED92D048F68}"/>
    <cellStyle name="RISKltandbEdge 3 9 3" xfId="9333" xr:uid="{5816947A-13D5-40C4-8566-80302D89548F}"/>
    <cellStyle name="RISKltandbEdge 30" xfId="12885" xr:uid="{9B49A879-92C4-4B62-A0D6-5A2089EA21E3}"/>
    <cellStyle name="RISKltandbEdge 31" xfId="13247" xr:uid="{0C8DEDB5-5B4E-4826-AA26-88BAB98B8D44}"/>
    <cellStyle name="RISKltandbEdge 32" xfId="13376" xr:uid="{B7590CA8-B6F6-424E-9C74-7DC5187A23DB}"/>
    <cellStyle name="RISKltandbEdge 4" xfId="1003" xr:uid="{00000000-0005-0000-0000-0000C7050000}"/>
    <cellStyle name="RISKltandbEdge 4 10" xfId="3223" xr:uid="{0F83C83C-844D-4E2B-8C9D-9BFBCEA819A2}"/>
    <cellStyle name="RISKltandbEdge 4 10 2" xfId="6379" xr:uid="{2485DB65-C718-42DC-A906-8F39F6F18C36}"/>
    <cellStyle name="RISKltandbEdge 4 10 3" xfId="9565" xr:uid="{D3D32413-8F67-4C38-83FE-810DE220D423}"/>
    <cellStyle name="RISKltandbEdge 4 11" xfId="6642" xr:uid="{8AF72323-141D-4325-9B26-1DEFCFF0CCA8}"/>
    <cellStyle name="RISKltandbEdge 4 11 2" xfId="9807" xr:uid="{2ECFD5A5-797E-4962-B2C2-47ACDCC7E26C}"/>
    <cellStyle name="RISKltandbEdge 4 12" xfId="6904" xr:uid="{37AE4274-4394-4697-B6B8-EDAF76DF2F54}"/>
    <cellStyle name="RISKltandbEdge 4 12 2" xfId="10049" xr:uid="{7A512B66-F88F-4386-BD3D-20C4028198A6}"/>
    <cellStyle name="RISKltandbEdge 4 13" xfId="7037" xr:uid="{308782EC-8493-4F39-9339-5174C90C8978}"/>
    <cellStyle name="RISKltandbEdge 4 13 2" xfId="10182" xr:uid="{E2D9030A-425B-4273-92D4-CFB1DE24540E}"/>
    <cellStyle name="RISKltandbEdge 4 14" xfId="7507" xr:uid="{DD2EB122-3C24-4BD7-AE50-31E31ABB9BCF}"/>
    <cellStyle name="RISKltandbEdge 4 14 2" xfId="10641" xr:uid="{043005A8-71EA-437E-92D3-4B41A3F8A65C}"/>
    <cellStyle name="RISKltandbEdge 4 15" xfId="7645" xr:uid="{2D3FED08-90F3-4143-BBBC-EE73E4C61FD8}"/>
    <cellStyle name="RISKltandbEdge 4 15 2" xfId="10778" xr:uid="{1BA702CF-126E-40F0-BED8-B471CA73B912}"/>
    <cellStyle name="RISKltandbEdge 4 16" xfId="4529" xr:uid="{57FCA834-60B6-47A3-A7AE-887F384B1388}"/>
    <cellStyle name="RISKltandbEdge 4 17" xfId="4302" xr:uid="{DAAC900F-4B20-4554-BC77-142F73F20E5F}"/>
    <cellStyle name="RISKltandbEdge 4 18" xfId="11031" xr:uid="{A164E92F-7CA7-4892-90CB-074FA0CA4A42}"/>
    <cellStyle name="RISKltandbEdge 4 19" xfId="11447" xr:uid="{D40A0D80-6B4C-4CFF-826C-2FD0298507B5}"/>
    <cellStyle name="RISKltandbEdge 4 2" xfId="1004" xr:uid="{00000000-0005-0000-0000-0000C8050000}"/>
    <cellStyle name="RISKltandbEdge 4 2 10" xfId="6643" xr:uid="{3500F1B2-D480-4A3D-A400-26F99BD21D57}"/>
    <cellStyle name="RISKltandbEdge 4 2 10 2" xfId="9808" xr:uid="{081F2B08-8558-45D0-8A44-D4F03F6B68A1}"/>
    <cellStyle name="RISKltandbEdge 4 2 11" xfId="6905" xr:uid="{1EEB27C4-8C13-4B52-97E4-A4648DEF2CDF}"/>
    <cellStyle name="RISKltandbEdge 4 2 11 2" xfId="10050" xr:uid="{F76640F7-FF90-4FCE-A933-DE936A7EBAE6}"/>
    <cellStyle name="RISKltandbEdge 4 2 12" xfId="7038" xr:uid="{613034E8-A88B-4D08-AE0C-A8B7CACA1555}"/>
    <cellStyle name="RISKltandbEdge 4 2 12 2" xfId="10183" xr:uid="{791EDE27-66FB-49F3-B97D-916F97EBC2D6}"/>
    <cellStyle name="RISKltandbEdge 4 2 13" xfId="7508" xr:uid="{7EEFF4CF-F0F6-40C5-9487-A95FC62254BA}"/>
    <cellStyle name="RISKltandbEdge 4 2 13 2" xfId="10642" xr:uid="{CE8C053F-243A-4A6A-8199-D6BB8CCEC364}"/>
    <cellStyle name="RISKltandbEdge 4 2 14" xfId="7646" xr:uid="{62E5ACFD-C7FB-4FB3-B033-C0E8BC7DFBD1}"/>
    <cellStyle name="RISKltandbEdge 4 2 14 2" xfId="10779" xr:uid="{D6E2D300-8D21-4923-97D5-373EC49344DD}"/>
    <cellStyle name="RISKltandbEdge 4 2 15" xfId="4530" xr:uid="{B0AB5C9C-8663-413D-BAE5-B315FD037D02}"/>
    <cellStyle name="RISKltandbEdge 4 2 16" xfId="4301" xr:uid="{5602853F-2189-4442-B7F6-4CA2206E9FAD}"/>
    <cellStyle name="RISKltandbEdge 4 2 17" xfId="11032" xr:uid="{5C2930A3-D0AC-4B0E-A6D9-1BF50DA5FE0B}"/>
    <cellStyle name="RISKltandbEdge 4 2 18" xfId="11448" xr:uid="{8F28113F-31EB-4E30-8152-8F051834D050}"/>
    <cellStyle name="RISKltandbEdge 4 2 19" xfId="11597" xr:uid="{A3FDCC33-F12F-4131-BE8A-19908C2426B0}"/>
    <cellStyle name="RISKltandbEdge 4 2 2" xfId="1330" xr:uid="{00000000-0005-0000-0000-0000C9050000}"/>
    <cellStyle name="RISKltandbEdge 4 2 2 2" xfId="3441" xr:uid="{695937F3-B59F-4EE3-9E64-3D81791B7314}"/>
    <cellStyle name="RISKltandbEdge 4 2 2 3" xfId="4747" xr:uid="{D214F4D4-56AE-4F38-B5CA-943B0FC4FAA8}"/>
    <cellStyle name="RISKltandbEdge 4 2 2 4" xfId="7957" xr:uid="{3256EF58-FBC2-45E6-935C-4EA3B7792626}"/>
    <cellStyle name="RISKltandbEdge 4 2 20" xfId="11731" xr:uid="{504F0C3A-4AF1-46BA-B704-8EADAEC38BB6}"/>
    <cellStyle name="RISKltandbEdge 4 2 21" xfId="12143" xr:uid="{A9306C78-B0D0-416E-A71F-B174D13067B8}"/>
    <cellStyle name="RISKltandbEdge 4 2 22" xfId="12750" xr:uid="{7AA5CC3C-E5F5-43C4-A05A-19E33A43AAEF}"/>
    <cellStyle name="RISKltandbEdge 4 2 23" xfId="12891" xr:uid="{AA2BBC49-2C6D-4BAB-BD88-FCDB2CC6C786}"/>
    <cellStyle name="RISKltandbEdge 4 2 24" xfId="13253" xr:uid="{87E1130B-7743-4931-9CCA-73E2C0CD4F62}"/>
    <cellStyle name="RISKltandbEdge 4 2 25" xfId="13382" xr:uid="{2F71320C-BE6C-4E54-90BF-22D9C2FFE558}"/>
    <cellStyle name="RISKltandbEdge 4 2 3" xfId="1549" xr:uid="{00000000-0005-0000-0000-0000CA050000}"/>
    <cellStyle name="RISKltandbEdge 4 2 3 2" xfId="3650" xr:uid="{8EC963D9-5E46-46FF-8177-9E48EF1F9620}"/>
    <cellStyle name="RISKltandbEdge 4 2 3 3" xfId="4958" xr:uid="{86641D8D-AC9E-4700-BADF-2324107BD756}"/>
    <cellStyle name="RISKltandbEdge 4 2 3 4" xfId="8165" xr:uid="{4115B0C5-6067-4537-AA16-C14BD03DA356}"/>
    <cellStyle name="RISKltandbEdge 4 2 4" xfId="1806" xr:uid="{00000000-0005-0000-0000-0000CB050000}"/>
    <cellStyle name="RISKltandbEdge 4 2 4 2" xfId="3906" xr:uid="{A2AE354E-BDB9-4F6A-A0B2-8843963973BE}"/>
    <cellStyle name="RISKltandbEdge 4 2 4 3" xfId="5210" xr:uid="{583EBC76-8AFA-4E62-837D-A92185B0D452}"/>
    <cellStyle name="RISKltandbEdge 4 2 4 4" xfId="8404" xr:uid="{658C6BB6-5BFB-46CE-A03F-E8EB3C3B24EF}"/>
    <cellStyle name="RISKltandbEdge 4 2 5" xfId="2060" xr:uid="{00000000-0005-0000-0000-0000CC050000}"/>
    <cellStyle name="RISKltandbEdge 4 2 5 2" xfId="4150" xr:uid="{C3C0DEC3-BA44-4B5B-86D8-4175EAF038D5}"/>
    <cellStyle name="RISKltandbEdge 4 2 5 3" xfId="5448" xr:uid="{078E5C1A-841F-4614-9821-4A10AA5B7478}"/>
    <cellStyle name="RISKltandbEdge 4 2 5 4" xfId="8640" xr:uid="{320BCA06-70A3-40C2-8607-834E6E0C8BF1}"/>
    <cellStyle name="RISKltandbEdge 4 2 6" xfId="2302" xr:uid="{C111FBCA-3CF4-4233-9654-8B4E2F9CB50C}"/>
    <cellStyle name="RISKltandbEdge 4 2 6 2" xfId="5684" xr:uid="{69B201AB-4E88-4E79-A949-5BB04B7E6A0C}"/>
    <cellStyle name="RISKltandbEdge 4 2 6 3" xfId="8876" xr:uid="{4E49025C-0BEA-4863-AB12-1DF1A30DCACC}"/>
    <cellStyle name="RISKltandbEdge 4 2 7" xfId="2538" xr:uid="{B3929846-6B04-4BAB-A5E2-1DB88A58BC41}"/>
    <cellStyle name="RISKltandbEdge 4 2 7 2" xfId="5914" xr:uid="{BC74D63B-654C-44E6-9804-AD585B87AF71}"/>
    <cellStyle name="RISKltandbEdge 4 2 7 3" xfId="9106" xr:uid="{F8A25B9D-914E-4708-AF2D-DBDFC3376329}"/>
    <cellStyle name="RISKltandbEdge 4 2 8" xfId="2777" xr:uid="{0FEBE6DC-F550-4B55-BDB4-5DD187D031FB}"/>
    <cellStyle name="RISKltandbEdge 4 2 8 2" xfId="6147" xr:uid="{78041ECE-1A66-425A-8BF4-39816D252CE6}"/>
    <cellStyle name="RISKltandbEdge 4 2 8 3" xfId="9336" xr:uid="{F6D3AFC7-7BD3-4E63-B44E-DC078B25E902}"/>
    <cellStyle name="RISKltandbEdge 4 2 9" xfId="3224" xr:uid="{FAAE6CF9-DB6C-406D-A3B5-00A582ED10B8}"/>
    <cellStyle name="RISKltandbEdge 4 2 9 2" xfId="6380" xr:uid="{7594F417-DA30-4401-AF9D-039F0662C8CF}"/>
    <cellStyle name="RISKltandbEdge 4 2 9 3" xfId="9566" xr:uid="{770A2891-8E4B-41A0-A9F5-DC4D2E513AA4}"/>
    <cellStyle name="RISKltandbEdge 4 20" xfId="11596" xr:uid="{79A2E1C8-6234-43CB-B74A-115DEBB2E272}"/>
    <cellStyle name="RISKltandbEdge 4 21" xfId="11730" xr:uid="{259A4EDA-AC45-4BD2-AB6D-F5D107A38CAB}"/>
    <cellStyle name="RISKltandbEdge 4 22" xfId="12142" xr:uid="{80D184D7-78C1-4457-BFBF-58301931AA41}"/>
    <cellStyle name="RISKltandbEdge 4 23" xfId="12749" xr:uid="{B16D7981-A5B9-4665-84A1-036B40ED2EDB}"/>
    <cellStyle name="RISKltandbEdge 4 24" xfId="12890" xr:uid="{F3A5C52D-9977-4DC9-9BF1-050469157FF8}"/>
    <cellStyle name="RISKltandbEdge 4 25" xfId="13252" xr:uid="{29970AC0-7F7F-41B8-9A5C-01643E1D7FA6}"/>
    <cellStyle name="RISKltandbEdge 4 26" xfId="13381" xr:uid="{567B6F18-BB5D-4B4B-9E3D-9916B75C0940}"/>
    <cellStyle name="RISKltandbEdge 4 3" xfId="1329" xr:uid="{00000000-0005-0000-0000-0000CD050000}"/>
    <cellStyle name="RISKltandbEdge 4 3 2" xfId="3440" xr:uid="{218A103C-F12F-4585-B67D-6B9084C0737E}"/>
    <cellStyle name="RISKltandbEdge 4 3 3" xfId="4746" xr:uid="{2EAE3386-2FA1-41BA-A3E1-BECE4493FC5C}"/>
    <cellStyle name="RISKltandbEdge 4 3 4" xfId="7956" xr:uid="{3A4E29D2-A77F-4A2B-B430-9DB81694AC76}"/>
    <cellStyle name="RISKltandbEdge 4 4" xfId="1548" xr:uid="{00000000-0005-0000-0000-0000CE050000}"/>
    <cellStyle name="RISKltandbEdge 4 4 2" xfId="3649" xr:uid="{8C91B823-2E8C-4422-9E2A-2E357DEC6419}"/>
    <cellStyle name="RISKltandbEdge 4 4 3" xfId="4957" xr:uid="{DD5863EB-8699-4900-905F-25677A754425}"/>
    <cellStyle name="RISKltandbEdge 4 4 4" xfId="8164" xr:uid="{8BA286FE-D8AD-406E-BA95-0CE51F0E3993}"/>
    <cellStyle name="RISKltandbEdge 4 5" xfId="1805" xr:uid="{00000000-0005-0000-0000-0000CF050000}"/>
    <cellStyle name="RISKltandbEdge 4 5 2" xfId="3905" xr:uid="{32369862-A166-4DB7-869F-5C2744C1EBE3}"/>
    <cellStyle name="RISKltandbEdge 4 5 3" xfId="5209" xr:uid="{A66B9F86-4FB4-4FF5-9CED-C5E093CD7D60}"/>
    <cellStyle name="RISKltandbEdge 4 5 4" xfId="8403" xr:uid="{0908E034-5431-4833-87DD-45EF6F157F99}"/>
    <cellStyle name="RISKltandbEdge 4 6" xfId="2059" xr:uid="{00000000-0005-0000-0000-0000D0050000}"/>
    <cellStyle name="RISKltandbEdge 4 6 2" xfId="4149" xr:uid="{919ED889-24E8-4EE8-B67E-0181F3FC2DC8}"/>
    <cellStyle name="RISKltandbEdge 4 6 3" xfId="5447" xr:uid="{FF428148-5836-4789-B65A-653063D2E05E}"/>
    <cellStyle name="RISKltandbEdge 4 6 4" xfId="8639" xr:uid="{EE240884-23C2-44AC-978C-00EE9E84F51E}"/>
    <cellStyle name="RISKltandbEdge 4 7" xfId="2301" xr:uid="{71B2C5A3-38B3-496D-9DEE-1262998AE755}"/>
    <cellStyle name="RISKltandbEdge 4 7 2" xfId="5683" xr:uid="{A653EB48-808F-4E0F-8CB2-5F4F99B8D08C}"/>
    <cellStyle name="RISKltandbEdge 4 7 3" xfId="8875" xr:uid="{C0AAF31B-7E7A-4D86-8CBA-055B261AB905}"/>
    <cellStyle name="RISKltandbEdge 4 8" xfId="2537" xr:uid="{CC1FDB43-0568-4369-A530-A72F227924BE}"/>
    <cellStyle name="RISKltandbEdge 4 8 2" xfId="5913" xr:uid="{6924B505-ADF0-4993-8417-04060B2F9ACC}"/>
    <cellStyle name="RISKltandbEdge 4 8 3" xfId="9105" xr:uid="{77DDA705-E4FF-40F4-84FB-A1E85B7CCC91}"/>
    <cellStyle name="RISKltandbEdge 4 9" xfId="2776" xr:uid="{FD75DE56-45DE-4C54-AFDF-B728E8BC5DD4}"/>
    <cellStyle name="RISKltandbEdge 4 9 2" xfId="6146" xr:uid="{66EF2D9D-9FBD-4C2B-B4FE-ED77BFC97452}"/>
    <cellStyle name="RISKltandbEdge 4 9 3" xfId="9335" xr:uid="{955310F3-2A31-41BE-9FCC-8FF5C40947D9}"/>
    <cellStyle name="RISKltandbEdge 5" xfId="1005" xr:uid="{00000000-0005-0000-0000-0000D1050000}"/>
    <cellStyle name="RISKltandbEdge 5 10" xfId="3225" xr:uid="{4492F394-EAEF-499B-9379-4329DEEF06D3}"/>
    <cellStyle name="RISKltandbEdge 5 10 2" xfId="6381" xr:uid="{C6352B3B-9486-48B0-921F-C942E455FF40}"/>
    <cellStyle name="RISKltandbEdge 5 10 3" xfId="9567" xr:uid="{B5487ED0-633D-4C9A-931F-F552CA724DC4}"/>
    <cellStyle name="RISKltandbEdge 5 11" xfId="6644" xr:uid="{8084C0E7-63D0-4DEA-902B-82E6AFC2F747}"/>
    <cellStyle name="RISKltandbEdge 5 11 2" xfId="9809" xr:uid="{593566F7-F442-4843-9CD9-34EDE60E483C}"/>
    <cellStyle name="RISKltandbEdge 5 12" xfId="6906" xr:uid="{B2127075-D5F2-4D78-8030-2C6AA146766F}"/>
    <cellStyle name="RISKltandbEdge 5 12 2" xfId="10051" xr:uid="{FFF1978E-2C2F-43FF-90D6-58F6EA5E6D64}"/>
    <cellStyle name="RISKltandbEdge 5 13" xfId="7039" xr:uid="{E2CF309E-2DB5-45CA-882F-9D08AFCFD563}"/>
    <cellStyle name="RISKltandbEdge 5 13 2" xfId="10184" xr:uid="{EA1DF91C-8AE3-4DB5-BAC7-8EBB50AA4767}"/>
    <cellStyle name="RISKltandbEdge 5 14" xfId="7509" xr:uid="{1F246133-72E2-44D1-ACF1-652684CF36B8}"/>
    <cellStyle name="RISKltandbEdge 5 14 2" xfId="10643" xr:uid="{CF9D5E6E-8C0C-466A-959C-5851BD7D607B}"/>
    <cellStyle name="RISKltandbEdge 5 15" xfId="7647" xr:uid="{FE120578-6191-4701-84A7-01E801759499}"/>
    <cellStyle name="RISKltandbEdge 5 15 2" xfId="10780" xr:uid="{4C20D195-FDC8-450A-8FD2-EB337476119D}"/>
    <cellStyle name="RISKltandbEdge 5 16" xfId="4531" xr:uid="{F78977CA-2ED5-42E8-911D-55D7FAF8F2DE}"/>
    <cellStyle name="RISKltandbEdge 5 17" xfId="4300" xr:uid="{F3B01DBD-8211-46DF-8AE0-736F56B4E88B}"/>
    <cellStyle name="RISKltandbEdge 5 18" xfId="11033" xr:uid="{505895F0-096F-4D4F-B6BC-427FA7553B68}"/>
    <cellStyle name="RISKltandbEdge 5 19" xfId="11449" xr:uid="{4FB1F8B4-09BE-4874-AFB8-950104439626}"/>
    <cellStyle name="RISKltandbEdge 5 2" xfId="1006" xr:uid="{00000000-0005-0000-0000-0000D2050000}"/>
    <cellStyle name="RISKltandbEdge 5 2 10" xfId="6645" xr:uid="{0AF2BE35-CC1F-4CF3-8763-EB6A05DDF372}"/>
    <cellStyle name="RISKltandbEdge 5 2 10 2" xfId="9810" xr:uid="{3FDF3552-D5A8-4771-8812-4FC1CA36CF28}"/>
    <cellStyle name="RISKltandbEdge 5 2 11" xfId="6907" xr:uid="{3D968D65-A67A-48E2-AAA2-CEAAC32AD62A}"/>
    <cellStyle name="RISKltandbEdge 5 2 11 2" xfId="10052" xr:uid="{F831438D-4B75-4BF4-916E-60436AA3696A}"/>
    <cellStyle name="RISKltandbEdge 5 2 12" xfId="7040" xr:uid="{F97E5C8E-7D3E-4EE8-A17F-D0DD7A86B816}"/>
    <cellStyle name="RISKltandbEdge 5 2 12 2" xfId="10185" xr:uid="{A3B6B4B0-414C-4B97-8682-8BFA271BDC88}"/>
    <cellStyle name="RISKltandbEdge 5 2 13" xfId="7510" xr:uid="{F78DB6CD-C698-4D84-9886-B0746FBD4146}"/>
    <cellStyle name="RISKltandbEdge 5 2 13 2" xfId="10644" xr:uid="{8C47995E-5D5D-4855-8813-E0240730BA47}"/>
    <cellStyle name="RISKltandbEdge 5 2 14" xfId="7648" xr:uid="{927432E7-CD21-494C-B8AC-51F1D2EC0F07}"/>
    <cellStyle name="RISKltandbEdge 5 2 14 2" xfId="10781" xr:uid="{D3C463BE-59F5-41F4-8AA1-D3C1F6EADF37}"/>
    <cellStyle name="RISKltandbEdge 5 2 15" xfId="4532" xr:uid="{11166C9B-DC80-4770-B4E0-0B2E0E1DE7E3}"/>
    <cellStyle name="RISKltandbEdge 5 2 16" xfId="4299" xr:uid="{DAB8442C-221E-47F2-BECC-38689ACA23F5}"/>
    <cellStyle name="RISKltandbEdge 5 2 17" xfId="11034" xr:uid="{A5DBD7FA-B3FF-42B2-B8EF-461795260C14}"/>
    <cellStyle name="RISKltandbEdge 5 2 18" xfId="11450" xr:uid="{C886A2C4-24F6-489D-AF3E-F63DBB7ED4F7}"/>
    <cellStyle name="RISKltandbEdge 5 2 19" xfId="11599" xr:uid="{2E579978-5752-4867-A360-A8A3D1C76127}"/>
    <cellStyle name="RISKltandbEdge 5 2 2" xfId="1332" xr:uid="{00000000-0005-0000-0000-0000D3050000}"/>
    <cellStyle name="RISKltandbEdge 5 2 2 2" xfId="3443" xr:uid="{3C886AE4-9153-43EC-8137-B477BCC0C37F}"/>
    <cellStyle name="RISKltandbEdge 5 2 2 3" xfId="4749" xr:uid="{B7C3BDB3-466B-44C0-BA0C-87AB0D97B472}"/>
    <cellStyle name="RISKltandbEdge 5 2 2 4" xfId="7959" xr:uid="{979BAFB0-8C16-475F-AB74-4318B2E62DF9}"/>
    <cellStyle name="RISKltandbEdge 5 2 20" xfId="11733" xr:uid="{46E855AD-6746-45CB-9FBA-DBC7B2033042}"/>
    <cellStyle name="RISKltandbEdge 5 2 21" xfId="12145" xr:uid="{E2D590DC-5181-4824-B7EF-82E7A2A6B196}"/>
    <cellStyle name="RISKltandbEdge 5 2 22" xfId="12752" xr:uid="{ED8AFE3A-9A9C-4431-8736-C8DF5A614D95}"/>
    <cellStyle name="RISKltandbEdge 5 2 23" xfId="12893" xr:uid="{5A39115B-F236-4B00-82C3-5B6B3AD4C58A}"/>
    <cellStyle name="RISKltandbEdge 5 2 24" xfId="13255" xr:uid="{B0CC8FEE-CF04-45B9-B0DE-EF4295EEAC26}"/>
    <cellStyle name="RISKltandbEdge 5 2 25" xfId="13384" xr:uid="{AC62DF5A-0BEA-46C1-9DA6-9BE94265B0A3}"/>
    <cellStyle name="RISKltandbEdge 5 2 3" xfId="1551" xr:uid="{00000000-0005-0000-0000-0000D4050000}"/>
    <cellStyle name="RISKltandbEdge 5 2 3 2" xfId="3652" xr:uid="{52A823E7-E1CD-4AAF-84B2-694E50E56E77}"/>
    <cellStyle name="RISKltandbEdge 5 2 3 3" xfId="4960" xr:uid="{C46549E4-78EB-4FA2-B384-E47694FCB24E}"/>
    <cellStyle name="RISKltandbEdge 5 2 3 4" xfId="8167" xr:uid="{8611433B-18C2-4A6E-9755-480D8DF49CA3}"/>
    <cellStyle name="RISKltandbEdge 5 2 4" xfId="1808" xr:uid="{00000000-0005-0000-0000-0000D5050000}"/>
    <cellStyle name="RISKltandbEdge 5 2 4 2" xfId="3908" xr:uid="{C8AD3A7D-146E-443D-822B-3A6273841AB8}"/>
    <cellStyle name="RISKltandbEdge 5 2 4 3" xfId="5212" xr:uid="{24523769-4546-439D-94B0-4EC6B9BFE6AD}"/>
    <cellStyle name="RISKltandbEdge 5 2 4 4" xfId="8406" xr:uid="{F4649A37-F8D6-4D79-9BE9-1A12DAE83936}"/>
    <cellStyle name="RISKltandbEdge 5 2 5" xfId="2062" xr:uid="{00000000-0005-0000-0000-0000D6050000}"/>
    <cellStyle name="RISKltandbEdge 5 2 5 2" xfId="4152" xr:uid="{640D30B1-67F4-485B-B565-651B817B6117}"/>
    <cellStyle name="RISKltandbEdge 5 2 5 3" xfId="5450" xr:uid="{D7A21A55-E14A-43A8-9DFD-206A18457B2A}"/>
    <cellStyle name="RISKltandbEdge 5 2 5 4" xfId="8642" xr:uid="{88A168A1-A403-4E8A-8B61-F8816243DC04}"/>
    <cellStyle name="RISKltandbEdge 5 2 6" xfId="2304" xr:uid="{141989DA-B7C5-44AE-AEE1-2234EC8D7E06}"/>
    <cellStyle name="RISKltandbEdge 5 2 6 2" xfId="5686" xr:uid="{0CBFF64C-28B9-41B7-AC8A-CD3C68B05982}"/>
    <cellStyle name="RISKltandbEdge 5 2 6 3" xfId="8878" xr:uid="{0F17E67B-D2DD-4F8F-9FA5-A3A40157CB52}"/>
    <cellStyle name="RISKltandbEdge 5 2 7" xfId="2540" xr:uid="{00263EAA-8961-49B9-B896-6CE5BCAC76FC}"/>
    <cellStyle name="RISKltandbEdge 5 2 7 2" xfId="5916" xr:uid="{FBFA28B8-0091-40F4-94D4-712C24DEF2DD}"/>
    <cellStyle name="RISKltandbEdge 5 2 7 3" xfId="9108" xr:uid="{D7D1D4DE-DB29-431A-A8D1-7C2BC15A286F}"/>
    <cellStyle name="RISKltandbEdge 5 2 8" xfId="2779" xr:uid="{A8543551-F70E-41D3-A1B6-8E97F1928DFA}"/>
    <cellStyle name="RISKltandbEdge 5 2 8 2" xfId="6149" xr:uid="{A91CE004-3E4A-4D3A-A873-0B34F5008DB3}"/>
    <cellStyle name="RISKltandbEdge 5 2 8 3" xfId="9338" xr:uid="{9D99DA7B-033A-4884-9F45-939017A0B59C}"/>
    <cellStyle name="RISKltandbEdge 5 2 9" xfId="3226" xr:uid="{1ED14944-9EBD-45EA-81AE-E08FE84B5CA8}"/>
    <cellStyle name="RISKltandbEdge 5 2 9 2" xfId="6382" xr:uid="{82A6889D-4B45-43FB-AEA9-37C5BD5F7C16}"/>
    <cellStyle name="RISKltandbEdge 5 2 9 3" xfId="9568" xr:uid="{1F4D3B5A-E44B-4468-8458-B18ECFAE60F7}"/>
    <cellStyle name="RISKltandbEdge 5 20" xfId="11598" xr:uid="{137EE330-2B09-4723-A8F8-2A0EB08F52B7}"/>
    <cellStyle name="RISKltandbEdge 5 21" xfId="11732" xr:uid="{C737677F-7CEA-4C0E-BA90-41FB5B36A962}"/>
    <cellStyle name="RISKltandbEdge 5 22" xfId="12144" xr:uid="{B0F97E95-780D-43AE-8154-6B17D3BF53B7}"/>
    <cellStyle name="RISKltandbEdge 5 23" xfId="12751" xr:uid="{E6AA50D3-0E71-4C95-BBD5-A3D64D6B716B}"/>
    <cellStyle name="RISKltandbEdge 5 24" xfId="12892" xr:uid="{18DD80FA-9044-4DAC-81AA-85357E3E2796}"/>
    <cellStyle name="RISKltandbEdge 5 25" xfId="13254" xr:uid="{C49D5EB1-7FF3-4D6E-BCA8-E958D8319068}"/>
    <cellStyle name="RISKltandbEdge 5 26" xfId="13383" xr:uid="{DC171D62-919A-4F33-9460-17274E0E3F70}"/>
    <cellStyle name="RISKltandbEdge 5 3" xfId="1331" xr:uid="{00000000-0005-0000-0000-0000D7050000}"/>
    <cellStyle name="RISKltandbEdge 5 3 2" xfId="3442" xr:uid="{27871366-9537-4AF5-B17B-20C9167C12DD}"/>
    <cellStyle name="RISKltandbEdge 5 3 3" xfId="4748" xr:uid="{4BEA927D-67BF-474D-B044-ECF66E1DD57D}"/>
    <cellStyle name="RISKltandbEdge 5 3 4" xfId="7958" xr:uid="{F8192381-1762-412F-AA1F-2BC199E75F51}"/>
    <cellStyle name="RISKltandbEdge 5 4" xfId="1550" xr:uid="{00000000-0005-0000-0000-0000D8050000}"/>
    <cellStyle name="RISKltandbEdge 5 4 2" xfId="3651" xr:uid="{B1D54564-5DF2-4F73-9827-3A7926DB25C8}"/>
    <cellStyle name="RISKltandbEdge 5 4 3" xfId="4959" xr:uid="{992C0FAA-3B7B-417A-8C2E-48C93C5E31ED}"/>
    <cellStyle name="RISKltandbEdge 5 4 4" xfId="8166" xr:uid="{ECA3391B-ED82-4286-BE6A-8D0D1E40C81D}"/>
    <cellStyle name="RISKltandbEdge 5 5" xfId="1807" xr:uid="{00000000-0005-0000-0000-0000D9050000}"/>
    <cellStyle name="RISKltandbEdge 5 5 2" xfId="3907" xr:uid="{F523C1E4-9E4E-4E99-9E28-FA477283F6FF}"/>
    <cellStyle name="RISKltandbEdge 5 5 3" xfId="5211" xr:uid="{1EB5B3AB-D64B-46FA-9E52-FD91598555AD}"/>
    <cellStyle name="RISKltandbEdge 5 5 4" xfId="8405" xr:uid="{E31C45CD-55D1-4131-A454-50912070F948}"/>
    <cellStyle name="RISKltandbEdge 5 6" xfId="2061" xr:uid="{00000000-0005-0000-0000-0000DA050000}"/>
    <cellStyle name="RISKltandbEdge 5 6 2" xfId="4151" xr:uid="{B4332A0A-8D91-4DAA-823F-6E48ACB4ECB8}"/>
    <cellStyle name="RISKltandbEdge 5 6 3" xfId="5449" xr:uid="{8F92857B-A853-465C-8B6D-0C4A9D96FA36}"/>
    <cellStyle name="RISKltandbEdge 5 6 4" xfId="8641" xr:uid="{37D26031-85E4-4E15-A1C0-DD6F85622F34}"/>
    <cellStyle name="RISKltandbEdge 5 7" xfId="2303" xr:uid="{40315053-35CE-4405-872A-3BB89A5823CA}"/>
    <cellStyle name="RISKltandbEdge 5 7 2" xfId="5685" xr:uid="{3C0F132D-CF27-4036-A0FB-95AA3BB63E27}"/>
    <cellStyle name="RISKltandbEdge 5 7 3" xfId="8877" xr:uid="{B92DBDF9-F392-4CCD-8B97-7A826AB6904C}"/>
    <cellStyle name="RISKltandbEdge 5 8" xfId="2539" xr:uid="{BD56AFE9-BEF7-4D60-B4A6-676F6DBFB15B}"/>
    <cellStyle name="RISKltandbEdge 5 8 2" xfId="5915" xr:uid="{00B5BC8D-FB4E-46EC-B0ED-DF7C3446FCF9}"/>
    <cellStyle name="RISKltandbEdge 5 8 3" xfId="9107" xr:uid="{806EE189-C250-4633-AB60-8E0980AE1609}"/>
    <cellStyle name="RISKltandbEdge 5 9" xfId="2778" xr:uid="{0249A23D-A7DF-415A-AF85-6300FB4998EC}"/>
    <cellStyle name="RISKltandbEdge 5 9 2" xfId="6148" xr:uid="{8AE6E871-0D77-43F9-9CBE-B2CBEF05E362}"/>
    <cellStyle name="RISKltandbEdge 5 9 3" xfId="9337" xr:uid="{86B501AF-BDA9-4949-A810-AFD518EA8997}"/>
    <cellStyle name="RISKltandbEdge 6" xfId="1007" xr:uid="{00000000-0005-0000-0000-0000DB050000}"/>
    <cellStyle name="RISKltandbEdge 6 10" xfId="3227" xr:uid="{A5CFFB06-9C65-4071-9279-A8FD35064DA9}"/>
    <cellStyle name="RISKltandbEdge 6 10 2" xfId="6383" xr:uid="{F40B8F94-7BCD-4524-BD84-FFD6EF10707D}"/>
    <cellStyle name="RISKltandbEdge 6 10 3" xfId="9569" xr:uid="{FEBC3A03-D7D7-4FB1-8135-F10ED16E9D04}"/>
    <cellStyle name="RISKltandbEdge 6 11" xfId="6646" xr:uid="{5E52E9DC-A868-414D-A6D8-F0EA1B76765E}"/>
    <cellStyle name="RISKltandbEdge 6 11 2" xfId="9811" xr:uid="{1B7BDB50-6B1D-4587-9D17-8A889E41ADE1}"/>
    <cellStyle name="RISKltandbEdge 6 12" xfId="6908" xr:uid="{A74E75D4-D654-4261-9343-F595BF5E5092}"/>
    <cellStyle name="RISKltandbEdge 6 12 2" xfId="10053" xr:uid="{028B7213-736E-44E0-B683-B4BF395C57F1}"/>
    <cellStyle name="RISKltandbEdge 6 13" xfId="7041" xr:uid="{3B981434-3D2D-44D1-93D6-C811E797E0A8}"/>
    <cellStyle name="RISKltandbEdge 6 13 2" xfId="10186" xr:uid="{55032826-42B8-4E04-B1D1-28C286C75EBE}"/>
    <cellStyle name="RISKltandbEdge 6 14" xfId="7511" xr:uid="{1B298F86-C190-43F8-A603-07668F09EED5}"/>
    <cellStyle name="RISKltandbEdge 6 14 2" xfId="10645" xr:uid="{78D5E4FF-53E1-49E0-8322-3E34B262AB14}"/>
    <cellStyle name="RISKltandbEdge 6 15" xfId="7649" xr:uid="{A395F897-6CE7-42FA-918D-28FAA9E4ECE0}"/>
    <cellStyle name="RISKltandbEdge 6 15 2" xfId="10782" xr:uid="{BD4EA632-BBB1-4710-8962-30640E176384}"/>
    <cellStyle name="RISKltandbEdge 6 16" xfId="4533" xr:uid="{173EF912-A2FF-4D07-B558-CED099290619}"/>
    <cellStyle name="RISKltandbEdge 6 17" xfId="4298" xr:uid="{46E0F81A-9946-40A6-BED1-6198B276C776}"/>
    <cellStyle name="RISKltandbEdge 6 18" xfId="11035" xr:uid="{8B6F341F-2078-4A34-BD0A-F2F3A4F07310}"/>
    <cellStyle name="RISKltandbEdge 6 19" xfId="11451" xr:uid="{83AB52C6-3A3F-45AD-B41C-B81072546EDF}"/>
    <cellStyle name="RISKltandbEdge 6 2" xfId="1008" xr:uid="{00000000-0005-0000-0000-0000DC050000}"/>
    <cellStyle name="RISKltandbEdge 6 2 10" xfId="6647" xr:uid="{E7B370BA-8EA3-48AC-8701-1C64679319B6}"/>
    <cellStyle name="RISKltandbEdge 6 2 10 2" xfId="9812" xr:uid="{28AFE804-7E66-4183-8D2C-69025B5AA41C}"/>
    <cellStyle name="RISKltandbEdge 6 2 11" xfId="6909" xr:uid="{984DE98D-3D7D-4F30-8125-501E502C88E6}"/>
    <cellStyle name="RISKltandbEdge 6 2 11 2" xfId="10054" xr:uid="{154A256E-CC93-4FBB-BEA5-7115CEF07845}"/>
    <cellStyle name="RISKltandbEdge 6 2 12" xfId="7042" xr:uid="{A057A47C-4975-4BDA-A0B2-1B957BD1205B}"/>
    <cellStyle name="RISKltandbEdge 6 2 12 2" xfId="10187" xr:uid="{3F064736-F2B5-42CD-A5B8-8AE32D2BA42D}"/>
    <cellStyle name="RISKltandbEdge 6 2 13" xfId="7512" xr:uid="{A6A7A407-CD40-45F2-8566-D686C56904EF}"/>
    <cellStyle name="RISKltandbEdge 6 2 13 2" xfId="10646" xr:uid="{2172DE2A-8CEA-4957-A154-ABC04F0C29E3}"/>
    <cellStyle name="RISKltandbEdge 6 2 14" xfId="7650" xr:uid="{7B1356FD-7DE0-4DB3-8463-9EAD0CD210EF}"/>
    <cellStyle name="RISKltandbEdge 6 2 14 2" xfId="10783" xr:uid="{28D9A8FC-1A3C-45F1-9EC4-EB73ADD28C01}"/>
    <cellStyle name="RISKltandbEdge 6 2 15" xfId="4534" xr:uid="{D91EB2D3-C882-43AE-82D2-F2888CCCEA5E}"/>
    <cellStyle name="RISKltandbEdge 6 2 16" xfId="4297" xr:uid="{A4AB09EB-5E73-407D-88D0-3415687ADCDA}"/>
    <cellStyle name="RISKltandbEdge 6 2 17" xfId="11036" xr:uid="{A481FD29-3544-4964-9265-DDDAC28BF1C3}"/>
    <cellStyle name="RISKltandbEdge 6 2 18" xfId="11452" xr:uid="{67ACB122-5ED6-4F90-9851-644DD82BABFD}"/>
    <cellStyle name="RISKltandbEdge 6 2 19" xfId="11601" xr:uid="{5EA31FC4-4E9F-48E7-9AFE-452AEBB03FED}"/>
    <cellStyle name="RISKltandbEdge 6 2 2" xfId="1334" xr:uid="{00000000-0005-0000-0000-0000DD050000}"/>
    <cellStyle name="RISKltandbEdge 6 2 2 2" xfId="3445" xr:uid="{F95E12F7-341D-4E11-B897-B6475E4B4EF6}"/>
    <cellStyle name="RISKltandbEdge 6 2 2 3" xfId="4751" xr:uid="{8B0F09A1-DA5C-41D5-BE46-40ED87B840B4}"/>
    <cellStyle name="RISKltandbEdge 6 2 2 4" xfId="7961" xr:uid="{41C0F478-9B43-4B02-A010-4D8D2D5C78BF}"/>
    <cellStyle name="RISKltandbEdge 6 2 20" xfId="11735" xr:uid="{3F805A10-6151-4D62-BA93-352DB7D72B60}"/>
    <cellStyle name="RISKltandbEdge 6 2 21" xfId="12147" xr:uid="{8B2ACAA0-D53E-47CD-80F2-8CCC4B224B66}"/>
    <cellStyle name="RISKltandbEdge 6 2 22" xfId="12754" xr:uid="{08EC7792-67A9-43AE-93B8-1188E64B5DED}"/>
    <cellStyle name="RISKltandbEdge 6 2 23" xfId="12895" xr:uid="{938BE09E-870F-4FE2-BB9A-29FF57A1ED77}"/>
    <cellStyle name="RISKltandbEdge 6 2 24" xfId="13257" xr:uid="{B450D81E-405E-4C94-B44F-927915B1CD21}"/>
    <cellStyle name="RISKltandbEdge 6 2 25" xfId="13386" xr:uid="{C7F4229A-CFD3-4CFA-92E6-B753FA77134D}"/>
    <cellStyle name="RISKltandbEdge 6 2 3" xfId="1553" xr:uid="{00000000-0005-0000-0000-0000DE050000}"/>
    <cellStyle name="RISKltandbEdge 6 2 3 2" xfId="3654" xr:uid="{EB6EE640-1971-468D-AA98-83BB80E5C6C2}"/>
    <cellStyle name="RISKltandbEdge 6 2 3 3" xfId="4962" xr:uid="{0CF0D451-FE55-4740-A5D9-18039E97695B}"/>
    <cellStyle name="RISKltandbEdge 6 2 3 4" xfId="8169" xr:uid="{B06FFBAA-B896-47CB-9479-62D636E567D4}"/>
    <cellStyle name="RISKltandbEdge 6 2 4" xfId="1810" xr:uid="{00000000-0005-0000-0000-0000DF050000}"/>
    <cellStyle name="RISKltandbEdge 6 2 4 2" xfId="3910" xr:uid="{1244D57E-2AEF-4A67-BC5B-2D438235054C}"/>
    <cellStyle name="RISKltandbEdge 6 2 4 3" xfId="5214" xr:uid="{E13DEF3B-FD0B-47C2-B0D6-DC2872CCE5B8}"/>
    <cellStyle name="RISKltandbEdge 6 2 4 4" xfId="8408" xr:uid="{89F1062C-1FDF-4665-9932-75C11BDBA92A}"/>
    <cellStyle name="RISKltandbEdge 6 2 5" xfId="2064" xr:uid="{00000000-0005-0000-0000-0000E0050000}"/>
    <cellStyle name="RISKltandbEdge 6 2 5 2" xfId="4154" xr:uid="{D0E37913-DC5D-419B-9D2F-6BE463A0438E}"/>
    <cellStyle name="RISKltandbEdge 6 2 5 3" xfId="5452" xr:uid="{7739C61F-AD7D-435A-B875-322A47AA1CC1}"/>
    <cellStyle name="RISKltandbEdge 6 2 5 4" xfId="8644" xr:uid="{83229ABE-5AC4-430D-9AC5-7B3B88C6CA2D}"/>
    <cellStyle name="RISKltandbEdge 6 2 6" xfId="2306" xr:uid="{7828DC14-B35B-40BD-9CEC-C755C92B7D9F}"/>
    <cellStyle name="RISKltandbEdge 6 2 6 2" xfId="5688" xr:uid="{4A2D52E5-E65A-4DBC-A71B-6A15B423E651}"/>
    <cellStyle name="RISKltandbEdge 6 2 6 3" xfId="8880" xr:uid="{C90BC357-E6E6-4FD2-9C3D-14F1CD8E67A5}"/>
    <cellStyle name="RISKltandbEdge 6 2 7" xfId="2542" xr:uid="{168B9D0F-558D-44B0-8D1A-3E20E51CC281}"/>
    <cellStyle name="RISKltandbEdge 6 2 7 2" xfId="5918" xr:uid="{58317340-4716-40B3-9A86-E82CEFC635AA}"/>
    <cellStyle name="RISKltandbEdge 6 2 7 3" xfId="9110" xr:uid="{E15A958B-30B3-426A-9A42-CCD0D9625DCC}"/>
    <cellStyle name="RISKltandbEdge 6 2 8" xfId="2781" xr:uid="{164CA2D1-82C5-47B0-828F-49460F06C3E7}"/>
    <cellStyle name="RISKltandbEdge 6 2 8 2" xfId="6151" xr:uid="{292FFAAB-2078-4A2B-9449-224EF3F02C4E}"/>
    <cellStyle name="RISKltandbEdge 6 2 8 3" xfId="9340" xr:uid="{141977A0-01C9-4951-A836-03B2829760D4}"/>
    <cellStyle name="RISKltandbEdge 6 2 9" xfId="3228" xr:uid="{8A9CEF70-7F5D-4E07-881A-E6D0F554CA2A}"/>
    <cellStyle name="RISKltandbEdge 6 2 9 2" xfId="6384" xr:uid="{F586A8C8-6B5E-4BB0-A4D2-E41D1BEF1EA0}"/>
    <cellStyle name="RISKltandbEdge 6 2 9 3" xfId="9570" xr:uid="{BFB8786F-EA68-4499-B587-EC926F86BFB9}"/>
    <cellStyle name="RISKltandbEdge 6 20" xfId="11600" xr:uid="{5297B7B9-57E7-4490-ABF6-BD41E00ECA6F}"/>
    <cellStyle name="RISKltandbEdge 6 21" xfId="11734" xr:uid="{B7003DAF-4E29-4DA1-811C-B2A7F1E48C7D}"/>
    <cellStyle name="RISKltandbEdge 6 22" xfId="12146" xr:uid="{D34EE693-E332-4BCA-A7FF-2A3DF2B35DA7}"/>
    <cellStyle name="RISKltandbEdge 6 23" xfId="12753" xr:uid="{E192FFBA-EBC8-4F4C-B793-3485FE2BB903}"/>
    <cellStyle name="RISKltandbEdge 6 24" xfId="12894" xr:uid="{0E23161D-2A42-4EE1-9582-B23EDFBD18C2}"/>
    <cellStyle name="RISKltandbEdge 6 25" xfId="13256" xr:uid="{40181A41-21C8-4201-A21C-3768414D807D}"/>
    <cellStyle name="RISKltandbEdge 6 26" xfId="13385" xr:uid="{34EAAEB2-8D4A-4A1A-9FEF-239DADD86B4B}"/>
    <cellStyle name="RISKltandbEdge 6 3" xfId="1333" xr:uid="{00000000-0005-0000-0000-0000E1050000}"/>
    <cellStyle name="RISKltandbEdge 6 3 2" xfId="3444" xr:uid="{DBA4B432-0F8E-458F-8B2A-9709EED577C3}"/>
    <cellStyle name="RISKltandbEdge 6 3 3" xfId="4750" xr:uid="{51014AE2-7E91-4D6E-9919-3C2595CDAF55}"/>
    <cellStyle name="RISKltandbEdge 6 3 4" xfId="7960" xr:uid="{52A6EA41-FF20-4A5C-9E19-D285DF4D2045}"/>
    <cellStyle name="RISKltandbEdge 6 4" xfId="1552" xr:uid="{00000000-0005-0000-0000-0000E2050000}"/>
    <cellStyle name="RISKltandbEdge 6 4 2" xfId="3653" xr:uid="{7BD46BF6-AD76-47EB-BBC1-9214227AE688}"/>
    <cellStyle name="RISKltandbEdge 6 4 3" xfId="4961" xr:uid="{3B30ED0E-D61E-429F-BC36-5613B153D83B}"/>
    <cellStyle name="RISKltandbEdge 6 4 4" xfId="8168" xr:uid="{338D9F89-2DCB-4C72-BE19-11A1B66BBB82}"/>
    <cellStyle name="RISKltandbEdge 6 5" xfId="1809" xr:uid="{00000000-0005-0000-0000-0000E3050000}"/>
    <cellStyle name="RISKltandbEdge 6 5 2" xfId="3909" xr:uid="{1AA29371-38A0-4B1F-A0C6-2E2A33D7F6CA}"/>
    <cellStyle name="RISKltandbEdge 6 5 3" xfId="5213" xr:uid="{756284D5-A9FE-4840-98EC-A285F66E7534}"/>
    <cellStyle name="RISKltandbEdge 6 5 4" xfId="8407" xr:uid="{B732E289-AE80-43CE-9886-63BE85DF30A4}"/>
    <cellStyle name="RISKltandbEdge 6 6" xfId="2063" xr:uid="{00000000-0005-0000-0000-0000E4050000}"/>
    <cellStyle name="RISKltandbEdge 6 6 2" xfId="4153" xr:uid="{9B1DAD62-07C9-46DE-959A-CD66B7C385A2}"/>
    <cellStyle name="RISKltandbEdge 6 6 3" xfId="5451" xr:uid="{545AECFB-4632-4285-A7F3-4CF7C9CF7848}"/>
    <cellStyle name="RISKltandbEdge 6 6 4" xfId="8643" xr:uid="{D685168F-37E8-4F7A-938A-11E5AA46E350}"/>
    <cellStyle name="RISKltandbEdge 6 7" xfId="2305" xr:uid="{5CD58523-DF39-4414-A766-CC503DDB9C24}"/>
    <cellStyle name="RISKltandbEdge 6 7 2" xfId="5687" xr:uid="{40C5039C-5269-4124-B3D9-E86960482D9A}"/>
    <cellStyle name="RISKltandbEdge 6 7 3" xfId="8879" xr:uid="{4D15DFC0-382E-4BE0-BAE4-5D99DD8069AE}"/>
    <cellStyle name="RISKltandbEdge 6 8" xfId="2541" xr:uid="{9E140B2E-482C-4CAC-8A89-7CB6D4178A2F}"/>
    <cellStyle name="RISKltandbEdge 6 8 2" xfId="5917" xr:uid="{B0783620-4F35-4494-A506-4613C3C2118A}"/>
    <cellStyle name="RISKltandbEdge 6 8 3" xfId="9109" xr:uid="{9125DFC9-EF94-477F-944B-877F38483FDE}"/>
    <cellStyle name="RISKltandbEdge 6 9" xfId="2780" xr:uid="{97CE9F51-262E-4C07-8B45-61B066ABC87B}"/>
    <cellStyle name="RISKltandbEdge 6 9 2" xfId="6150" xr:uid="{643391D4-280E-42BA-9C41-4F62AF822A79}"/>
    <cellStyle name="RISKltandbEdge 6 9 3" xfId="9339" xr:uid="{1D47F8D9-8DC4-426A-AE26-84A539855C0A}"/>
    <cellStyle name="RISKltandbEdge 7" xfId="1009" xr:uid="{00000000-0005-0000-0000-0000E5050000}"/>
    <cellStyle name="RISKltandbEdge 7 10" xfId="2782" xr:uid="{181476A1-7331-4FBB-8F74-657089A531A9}"/>
    <cellStyle name="RISKltandbEdge 7 10 2" xfId="6152" xr:uid="{3089F9BE-985B-403B-B3EE-BCB5B1B1FF79}"/>
    <cellStyle name="RISKltandbEdge 7 10 3" xfId="9341" xr:uid="{C34E9EE5-1A47-42BF-86DB-60FEFA906B9F}"/>
    <cellStyle name="RISKltandbEdge 7 11" xfId="3229" xr:uid="{5F930BA6-9014-495E-AE6A-33D79973CAD3}"/>
    <cellStyle name="RISKltandbEdge 7 11 2" xfId="6385" xr:uid="{0A47FF6F-F628-48EE-9205-42A1E479B0FB}"/>
    <cellStyle name="RISKltandbEdge 7 11 3" xfId="9571" xr:uid="{B9C62DE2-7771-43FC-BF3C-EC1CED0B448F}"/>
    <cellStyle name="RISKltandbEdge 7 12" xfId="6648" xr:uid="{CFC9936C-DE9C-4564-8C5A-6B5662100B9A}"/>
    <cellStyle name="RISKltandbEdge 7 12 2" xfId="9813" xr:uid="{3E1E3B7E-4ADF-4EEE-B98D-16154E85346C}"/>
    <cellStyle name="RISKltandbEdge 7 13" xfId="6910" xr:uid="{167BA72E-4F91-4800-83F3-F0C73CB96C8D}"/>
    <cellStyle name="RISKltandbEdge 7 13 2" xfId="10055" xr:uid="{5CA6E9DE-B96B-4630-8FC6-BFC753F4B2F3}"/>
    <cellStyle name="RISKltandbEdge 7 14" xfId="7043" xr:uid="{FCD9BB52-8C7D-4819-B7C5-64E469A9A00F}"/>
    <cellStyle name="RISKltandbEdge 7 14 2" xfId="10188" xr:uid="{77F6D9E9-69FB-4DD9-93D0-F48B0627BC49}"/>
    <cellStyle name="RISKltandbEdge 7 15" xfId="7513" xr:uid="{45643748-3DD3-42CD-83B2-260A81671F98}"/>
    <cellStyle name="RISKltandbEdge 7 15 2" xfId="10647" xr:uid="{F459254F-3750-45A8-BDD6-0524CD3A5512}"/>
    <cellStyle name="RISKltandbEdge 7 16" xfId="7651" xr:uid="{A107E8C1-F741-40B8-A5BB-471F59901F87}"/>
    <cellStyle name="RISKltandbEdge 7 16 2" xfId="10784" xr:uid="{3B167C57-1BC9-45BD-B5DC-E2801A40C1A6}"/>
    <cellStyle name="RISKltandbEdge 7 17" xfId="4535" xr:uid="{0111FFE0-D6C0-4607-9B23-1DF79CD87A2F}"/>
    <cellStyle name="RISKltandbEdge 7 18" xfId="4296" xr:uid="{8852A2C1-7003-422F-92FA-E66C000457EF}"/>
    <cellStyle name="RISKltandbEdge 7 19" xfId="11037" xr:uid="{6C70CE8C-BFAD-4F28-8E84-FA2B7E2E35C6}"/>
    <cellStyle name="RISKltandbEdge 7 2" xfId="1010" xr:uid="{00000000-0005-0000-0000-0000E6050000}"/>
    <cellStyle name="RISKltandbEdge 7 2 10" xfId="6649" xr:uid="{9EB1315B-3CB5-4B13-AE8A-48878C8D9A38}"/>
    <cellStyle name="RISKltandbEdge 7 2 10 2" xfId="9814" xr:uid="{54DF271C-3C58-43F4-82CD-9BAA0F7AC1AB}"/>
    <cellStyle name="RISKltandbEdge 7 2 11" xfId="6911" xr:uid="{9589DF48-036D-44E2-8374-3F1E5344C023}"/>
    <cellStyle name="RISKltandbEdge 7 2 11 2" xfId="10056" xr:uid="{470FB881-963C-4A06-8E00-8DEEB03636AF}"/>
    <cellStyle name="RISKltandbEdge 7 2 12" xfId="7044" xr:uid="{EC11CBC4-E2C8-4125-93CA-0347C751CF12}"/>
    <cellStyle name="RISKltandbEdge 7 2 12 2" xfId="10189" xr:uid="{1CEB535E-EFD4-48CA-ACC4-0BDB0FA4A2FB}"/>
    <cellStyle name="RISKltandbEdge 7 2 13" xfId="7514" xr:uid="{DAAED436-A03F-42F7-BE16-D9B46C4650E6}"/>
    <cellStyle name="RISKltandbEdge 7 2 13 2" xfId="10648" xr:uid="{6679BB52-39A8-4EF9-BD99-CEB9A280E48A}"/>
    <cellStyle name="RISKltandbEdge 7 2 14" xfId="7652" xr:uid="{B0824B72-C4AC-4161-8E59-29F87E847EE5}"/>
    <cellStyle name="RISKltandbEdge 7 2 14 2" xfId="10785" xr:uid="{AE7354DD-3216-4086-A3C3-590F05B6B1E5}"/>
    <cellStyle name="RISKltandbEdge 7 2 15" xfId="4536" xr:uid="{EEA6993C-712D-4C0B-8E5A-8B4EC24F01C1}"/>
    <cellStyle name="RISKltandbEdge 7 2 16" xfId="4295" xr:uid="{025E40FB-3141-4FD4-A646-DB17C9877627}"/>
    <cellStyle name="RISKltandbEdge 7 2 17" xfId="11038" xr:uid="{BAA56927-E0D4-4628-AB9B-0AAD33D0BCE7}"/>
    <cellStyle name="RISKltandbEdge 7 2 18" xfId="11454" xr:uid="{547B87D7-6D2C-483F-82A9-5E08336B3201}"/>
    <cellStyle name="RISKltandbEdge 7 2 19" xfId="11603" xr:uid="{F0D9ABE8-B115-476C-968F-0B16F5DD22E5}"/>
    <cellStyle name="RISKltandbEdge 7 2 2" xfId="1336" xr:uid="{00000000-0005-0000-0000-0000E7050000}"/>
    <cellStyle name="RISKltandbEdge 7 2 2 2" xfId="3447" xr:uid="{8CC8F5FE-F087-4062-A616-DABF7D164784}"/>
    <cellStyle name="RISKltandbEdge 7 2 2 3" xfId="4753" xr:uid="{98F7D091-5E37-414D-85EE-57DB99FEA2ED}"/>
    <cellStyle name="RISKltandbEdge 7 2 2 4" xfId="7963" xr:uid="{2E3CE88C-A0E7-4FAA-9300-B9C0587F0755}"/>
    <cellStyle name="RISKltandbEdge 7 2 20" xfId="11737" xr:uid="{9C9F46CA-2BFD-4BCE-8479-E6027230A54C}"/>
    <cellStyle name="RISKltandbEdge 7 2 21" xfId="12149" xr:uid="{EC982CF3-13B8-4D11-B2C8-53A9F71FADCD}"/>
    <cellStyle name="RISKltandbEdge 7 2 22" xfId="12756" xr:uid="{9695BA4F-F685-4CF1-8EDA-AB5028D17FCE}"/>
    <cellStyle name="RISKltandbEdge 7 2 23" xfId="12897" xr:uid="{6E98631F-2AAF-40DD-A5CF-80D5C348A940}"/>
    <cellStyle name="RISKltandbEdge 7 2 24" xfId="13259" xr:uid="{4A358BFE-2F12-47A4-B520-E184A0631AE5}"/>
    <cellStyle name="RISKltandbEdge 7 2 25" xfId="13388" xr:uid="{AD6ACF7F-D0A0-4C49-97EE-0497607D048A}"/>
    <cellStyle name="RISKltandbEdge 7 2 3" xfId="1555" xr:uid="{00000000-0005-0000-0000-0000E8050000}"/>
    <cellStyle name="RISKltandbEdge 7 2 3 2" xfId="3656" xr:uid="{EDF866B4-B4F0-4672-A745-3FC2F211627C}"/>
    <cellStyle name="RISKltandbEdge 7 2 3 3" xfId="4964" xr:uid="{2EF38BE2-874D-498E-8D0E-2D535B948075}"/>
    <cellStyle name="RISKltandbEdge 7 2 3 4" xfId="8171" xr:uid="{72096DC9-0424-40B7-A020-E3215235E4EB}"/>
    <cellStyle name="RISKltandbEdge 7 2 4" xfId="1812" xr:uid="{00000000-0005-0000-0000-0000E9050000}"/>
    <cellStyle name="RISKltandbEdge 7 2 4 2" xfId="3912" xr:uid="{0AC9C3E9-72B4-45E1-B128-E57AB7D1143D}"/>
    <cellStyle name="RISKltandbEdge 7 2 4 3" xfId="5216" xr:uid="{ACB4C903-01B1-440E-83B9-C364498BC049}"/>
    <cellStyle name="RISKltandbEdge 7 2 4 4" xfId="8410" xr:uid="{16C12735-6310-4855-9674-E11AAFDB7DB1}"/>
    <cellStyle name="RISKltandbEdge 7 2 5" xfId="2066" xr:uid="{00000000-0005-0000-0000-0000EA050000}"/>
    <cellStyle name="RISKltandbEdge 7 2 5 2" xfId="4156" xr:uid="{65EC4BDA-7000-4965-95B1-D6AF2CDDD8A4}"/>
    <cellStyle name="RISKltandbEdge 7 2 5 3" xfId="5454" xr:uid="{F0ACCA44-89E6-4CA3-921A-EFDB2E843048}"/>
    <cellStyle name="RISKltandbEdge 7 2 5 4" xfId="8646" xr:uid="{0D44D91E-705D-4EEB-B293-0329519748BF}"/>
    <cellStyle name="RISKltandbEdge 7 2 6" xfId="2308" xr:uid="{C2216A1F-CFD6-4A81-B95F-A3FD84675AA9}"/>
    <cellStyle name="RISKltandbEdge 7 2 6 2" xfId="5690" xr:uid="{0A9314A4-2518-49DB-A689-0AC9250D9154}"/>
    <cellStyle name="RISKltandbEdge 7 2 6 3" xfId="8882" xr:uid="{86A91A8D-6E35-4B4E-9EAE-33F2E788BAE1}"/>
    <cellStyle name="RISKltandbEdge 7 2 7" xfId="2544" xr:uid="{4C56347F-A12E-4876-8CDB-674AD7B120D1}"/>
    <cellStyle name="RISKltandbEdge 7 2 7 2" xfId="5920" xr:uid="{BC06087B-8C69-4006-A53F-FE8D7C7F0A10}"/>
    <cellStyle name="RISKltandbEdge 7 2 7 3" xfId="9112" xr:uid="{6EA42585-C758-41F3-AC06-AC60EB2D89CC}"/>
    <cellStyle name="RISKltandbEdge 7 2 8" xfId="2783" xr:uid="{2A76F770-E858-4848-8EDD-3DC44C96752E}"/>
    <cellStyle name="RISKltandbEdge 7 2 8 2" xfId="6153" xr:uid="{2A964E5F-C0AF-4690-917F-7C7F4FFDC227}"/>
    <cellStyle name="RISKltandbEdge 7 2 8 3" xfId="9342" xr:uid="{5F5C796D-68D9-46B6-9B53-6F615FBE2C06}"/>
    <cellStyle name="RISKltandbEdge 7 2 9" xfId="3230" xr:uid="{8045D324-8097-481D-90DA-DCA43CCCB456}"/>
    <cellStyle name="RISKltandbEdge 7 2 9 2" xfId="6386" xr:uid="{281F2B69-F32D-4A1A-B372-6624E97D4302}"/>
    <cellStyle name="RISKltandbEdge 7 2 9 3" xfId="9572" xr:uid="{03E5E709-2D37-435F-970C-4B21ACC8CEE7}"/>
    <cellStyle name="RISKltandbEdge 7 20" xfId="11453" xr:uid="{5FD385D9-B585-4601-A871-3E5899D60A6B}"/>
    <cellStyle name="RISKltandbEdge 7 21" xfId="11602" xr:uid="{900794EF-8680-4097-A88D-9075D15A19FC}"/>
    <cellStyle name="RISKltandbEdge 7 22" xfId="11736" xr:uid="{94997C74-A869-4AE6-9309-76827788E0EA}"/>
    <cellStyle name="RISKltandbEdge 7 23" xfId="12148" xr:uid="{06A60556-896D-4D1E-AE45-7C352AE1FE2A}"/>
    <cellStyle name="RISKltandbEdge 7 24" xfId="12755" xr:uid="{7E0365D8-52D5-4179-B72F-94A467F8F844}"/>
    <cellStyle name="RISKltandbEdge 7 25" xfId="12896" xr:uid="{4544D97A-E87B-42F8-907E-1FABB14B1574}"/>
    <cellStyle name="RISKltandbEdge 7 26" xfId="13258" xr:uid="{91D46BBF-17B6-4D02-8872-65C5A6570EE6}"/>
    <cellStyle name="RISKltandbEdge 7 27" xfId="13387" xr:uid="{6F6723FD-6CD2-4D23-8734-F66C12C7D964}"/>
    <cellStyle name="RISKltandbEdge 7 3" xfId="1011" xr:uid="{00000000-0005-0000-0000-0000EB050000}"/>
    <cellStyle name="RISKltandbEdge 7 3 10" xfId="6650" xr:uid="{581D9FC6-4979-4A1A-8921-87E196426FC5}"/>
    <cellStyle name="RISKltandbEdge 7 3 10 2" xfId="9815" xr:uid="{7C4E7E82-BBF0-4F96-AA50-BBF669FA0F82}"/>
    <cellStyle name="RISKltandbEdge 7 3 11" xfId="6912" xr:uid="{04B0588F-93BA-4C8E-AD37-EA4B7BD359E8}"/>
    <cellStyle name="RISKltandbEdge 7 3 11 2" xfId="10057" xr:uid="{96676C7A-B157-4303-A70C-4F8FE1982EC5}"/>
    <cellStyle name="RISKltandbEdge 7 3 12" xfId="7045" xr:uid="{94BCA679-EF20-4D6D-B96D-76983B76FDDE}"/>
    <cellStyle name="RISKltandbEdge 7 3 12 2" xfId="10190" xr:uid="{7FEF96B1-5D18-419D-945F-497874F7055A}"/>
    <cellStyle name="RISKltandbEdge 7 3 13" xfId="7515" xr:uid="{1127450B-5D7B-43B8-AD45-2FE5A89656C6}"/>
    <cellStyle name="RISKltandbEdge 7 3 13 2" xfId="10649" xr:uid="{807A9867-4818-4511-80D9-447E4666BB15}"/>
    <cellStyle name="RISKltandbEdge 7 3 14" xfId="7653" xr:uid="{C47CB8E5-4CCF-4629-92E3-C44584A35B50}"/>
    <cellStyle name="RISKltandbEdge 7 3 14 2" xfId="10786" xr:uid="{DBA7BD71-9368-4F44-9708-CC7FF3C89A7D}"/>
    <cellStyle name="RISKltandbEdge 7 3 15" xfId="4537" xr:uid="{4D2E28D1-D470-4DAB-A110-2C9AB4448CAB}"/>
    <cellStyle name="RISKltandbEdge 7 3 16" xfId="4294" xr:uid="{406727CC-E7EA-43CC-B6B9-7FD39BAE0B21}"/>
    <cellStyle name="RISKltandbEdge 7 3 17" xfId="11039" xr:uid="{49E3EEA7-717E-4893-A2DB-266200932B0B}"/>
    <cellStyle name="RISKltandbEdge 7 3 18" xfId="11455" xr:uid="{E4C7702A-2401-4F9A-9C51-B9FB5371C9D3}"/>
    <cellStyle name="RISKltandbEdge 7 3 19" xfId="11604" xr:uid="{951CCA48-7234-47EB-A7E5-3E255F2F6300}"/>
    <cellStyle name="RISKltandbEdge 7 3 2" xfId="1337" xr:uid="{00000000-0005-0000-0000-0000EC050000}"/>
    <cellStyle name="RISKltandbEdge 7 3 2 2" xfId="3448" xr:uid="{56C78EDB-C039-46F2-937E-3A5AFD51A4E2}"/>
    <cellStyle name="RISKltandbEdge 7 3 2 3" xfId="4754" xr:uid="{E0119EE6-AED3-4E4D-A81C-2A7D1D56B04C}"/>
    <cellStyle name="RISKltandbEdge 7 3 2 4" xfId="7964" xr:uid="{6369AE8A-623C-4E52-9CEC-33E9D2C1F2FD}"/>
    <cellStyle name="RISKltandbEdge 7 3 20" xfId="11738" xr:uid="{2EDBC781-A447-4274-895B-144A286204C3}"/>
    <cellStyle name="RISKltandbEdge 7 3 21" xfId="12150" xr:uid="{71A90454-AEDE-4C29-8584-F3C36D88E206}"/>
    <cellStyle name="RISKltandbEdge 7 3 22" xfId="12757" xr:uid="{4B1C2502-7D74-4AA1-B4D5-6027E1D01523}"/>
    <cellStyle name="RISKltandbEdge 7 3 23" xfId="12898" xr:uid="{64CCBA4A-BA85-462A-B859-D636855F13A3}"/>
    <cellStyle name="RISKltandbEdge 7 3 24" xfId="13260" xr:uid="{91190142-EAB1-43AD-A177-DEED279640E8}"/>
    <cellStyle name="RISKltandbEdge 7 3 25" xfId="13389" xr:uid="{C9D54078-F7DE-4E8A-ACD6-7C1F9DB8AD29}"/>
    <cellStyle name="RISKltandbEdge 7 3 3" xfId="1556" xr:uid="{00000000-0005-0000-0000-0000ED050000}"/>
    <cellStyle name="RISKltandbEdge 7 3 3 2" xfId="3657" xr:uid="{06F0E94D-22FB-4A31-A654-A81AE6A5B726}"/>
    <cellStyle name="RISKltandbEdge 7 3 3 3" xfId="4965" xr:uid="{D812B323-7ACD-4366-9108-BD166DF60DF7}"/>
    <cellStyle name="RISKltandbEdge 7 3 3 4" xfId="8172" xr:uid="{DEF8E7C1-BF7D-4A4A-A755-2F3782EC9000}"/>
    <cellStyle name="RISKltandbEdge 7 3 4" xfId="1813" xr:uid="{00000000-0005-0000-0000-0000EE050000}"/>
    <cellStyle name="RISKltandbEdge 7 3 4 2" xfId="3913" xr:uid="{42129476-FA6A-4DA7-B80F-32571C818BAC}"/>
    <cellStyle name="RISKltandbEdge 7 3 4 3" xfId="5217" xr:uid="{15F75034-F15C-4C3D-831E-B09CD1FB0154}"/>
    <cellStyle name="RISKltandbEdge 7 3 4 4" xfId="8411" xr:uid="{F795B315-7FDB-4EDD-97E2-E4465CE9D69E}"/>
    <cellStyle name="RISKltandbEdge 7 3 5" xfId="2067" xr:uid="{00000000-0005-0000-0000-0000EF050000}"/>
    <cellStyle name="RISKltandbEdge 7 3 5 2" xfId="4157" xr:uid="{00379640-2C9B-4CDF-AEA3-D392144F3540}"/>
    <cellStyle name="RISKltandbEdge 7 3 5 3" xfId="5455" xr:uid="{52AA0857-7AC3-4A29-A2F2-066A57DEE1CB}"/>
    <cellStyle name="RISKltandbEdge 7 3 5 4" xfId="8647" xr:uid="{AC605B01-6C36-406E-9CFD-8FCF230E11E8}"/>
    <cellStyle name="RISKltandbEdge 7 3 6" xfId="2309" xr:uid="{F8979366-7CB2-4EC1-8C20-4E24A767ACB2}"/>
    <cellStyle name="RISKltandbEdge 7 3 6 2" xfId="5691" xr:uid="{19178D18-1EEF-4AD1-98D6-A79CB34B38DC}"/>
    <cellStyle name="RISKltandbEdge 7 3 6 3" xfId="8883" xr:uid="{9E4F11EB-997C-4F34-B3A0-09D017D91390}"/>
    <cellStyle name="RISKltandbEdge 7 3 7" xfId="2545" xr:uid="{B11DDC71-58B0-4EE5-9A73-CCF25E82DA3B}"/>
    <cellStyle name="RISKltandbEdge 7 3 7 2" xfId="5921" xr:uid="{A9B9DD62-50FC-4EF2-80DE-8570BD8E6177}"/>
    <cellStyle name="RISKltandbEdge 7 3 7 3" xfId="9113" xr:uid="{97AD0104-EF40-4B6C-8717-7B8B50CFEFBF}"/>
    <cellStyle name="RISKltandbEdge 7 3 8" xfId="2784" xr:uid="{74AB58EF-D867-4A88-AB78-4C4CA77C946C}"/>
    <cellStyle name="RISKltandbEdge 7 3 8 2" xfId="6154" xr:uid="{FC91D416-F773-40E6-8F34-3EC9D86854F1}"/>
    <cellStyle name="RISKltandbEdge 7 3 8 3" xfId="9343" xr:uid="{FA378D23-5846-4D45-AEAD-6C45C4B930B6}"/>
    <cellStyle name="RISKltandbEdge 7 3 9" xfId="3231" xr:uid="{92966D8C-9DF0-4D19-A8A4-365EF25778CB}"/>
    <cellStyle name="RISKltandbEdge 7 3 9 2" xfId="6387" xr:uid="{1981B1BE-6F9B-41F5-BE2C-749345FA261D}"/>
    <cellStyle name="RISKltandbEdge 7 3 9 3" xfId="9573" xr:uid="{B0D20BE6-3F27-471B-AF17-A4876AB1F759}"/>
    <cellStyle name="RISKltandbEdge 7 4" xfId="1335" xr:uid="{00000000-0005-0000-0000-0000F0050000}"/>
    <cellStyle name="RISKltandbEdge 7 4 2" xfId="3446" xr:uid="{048108B9-B9A3-46CB-839B-289962DBAFE2}"/>
    <cellStyle name="RISKltandbEdge 7 4 3" xfId="4752" xr:uid="{27536A5A-DEAE-4979-AA1B-2BF195434764}"/>
    <cellStyle name="RISKltandbEdge 7 4 4" xfId="7962" xr:uid="{EE7ABE31-C70F-454C-93A2-D3F8740EEDE4}"/>
    <cellStyle name="RISKltandbEdge 7 5" xfId="1554" xr:uid="{00000000-0005-0000-0000-0000F1050000}"/>
    <cellStyle name="RISKltandbEdge 7 5 2" xfId="3655" xr:uid="{B3434B19-E4AF-41F2-8F0C-753B44BBF784}"/>
    <cellStyle name="RISKltandbEdge 7 5 3" xfId="4963" xr:uid="{865C122E-0959-4757-9CC4-78B61585255F}"/>
    <cellStyle name="RISKltandbEdge 7 5 4" xfId="8170" xr:uid="{694204CC-D2E5-4E46-BB47-BCCDE4EA2E13}"/>
    <cellStyle name="RISKltandbEdge 7 6" xfId="1811" xr:uid="{00000000-0005-0000-0000-0000F2050000}"/>
    <cellStyle name="RISKltandbEdge 7 6 2" xfId="3911" xr:uid="{350513E8-39D7-435C-A976-ECA0F6B542CF}"/>
    <cellStyle name="RISKltandbEdge 7 6 3" xfId="5215" xr:uid="{4171FF53-E540-45A3-8A68-7E5381F9E4FC}"/>
    <cellStyle name="RISKltandbEdge 7 6 4" xfId="8409" xr:uid="{2D5CD63A-7631-486E-9201-4129FD950C4F}"/>
    <cellStyle name="RISKltandbEdge 7 7" xfId="2065" xr:uid="{00000000-0005-0000-0000-0000F3050000}"/>
    <cellStyle name="RISKltandbEdge 7 7 2" xfId="4155" xr:uid="{C6DA60FA-D89A-4E18-8381-AF6CD97B1009}"/>
    <cellStyle name="RISKltandbEdge 7 7 3" xfId="5453" xr:uid="{49769002-D43E-4930-8B0B-33E4A7BA302B}"/>
    <cellStyle name="RISKltandbEdge 7 7 4" xfId="8645" xr:uid="{DCC6501B-6282-4FF8-BCCB-79A49158C13A}"/>
    <cellStyle name="RISKltandbEdge 7 8" xfId="2307" xr:uid="{5C4AF48E-4A0C-40EE-820D-E8D1C160E49E}"/>
    <cellStyle name="RISKltandbEdge 7 8 2" xfId="5689" xr:uid="{28F67C3B-B3CE-498D-9B0E-434091AB79C6}"/>
    <cellStyle name="RISKltandbEdge 7 8 3" xfId="8881" xr:uid="{1C9AACCD-4550-4845-A4BD-E34BCECC7DE7}"/>
    <cellStyle name="RISKltandbEdge 7 9" xfId="2543" xr:uid="{058EE038-254C-4944-AB8F-58FAC9FB4997}"/>
    <cellStyle name="RISKltandbEdge 7 9 2" xfId="5919" xr:uid="{80E8F60F-5785-4100-9583-54742B81F201}"/>
    <cellStyle name="RISKltandbEdge 7 9 3" xfId="9111" xr:uid="{B773AD6C-5027-4634-B0A2-EE9BFD566F44}"/>
    <cellStyle name="RISKltandbEdge 8" xfId="1012" xr:uid="{00000000-0005-0000-0000-0000F4050000}"/>
    <cellStyle name="RISKltandbEdge 8 10" xfId="6651" xr:uid="{73B7FE4F-8AEB-4F75-8209-E887C35A26BF}"/>
    <cellStyle name="RISKltandbEdge 8 10 2" xfId="9816" xr:uid="{1974EA87-302F-463E-A512-94ED1325B667}"/>
    <cellStyle name="RISKltandbEdge 8 11" xfId="6913" xr:uid="{254836C2-E63B-43BB-B5FF-59E78AB4C65F}"/>
    <cellStyle name="RISKltandbEdge 8 11 2" xfId="10058" xr:uid="{0CE01664-388B-4903-81B1-9245E4D9333E}"/>
    <cellStyle name="RISKltandbEdge 8 12" xfId="7046" xr:uid="{678AFEAC-DF9B-4315-97D1-E0AF376C34C0}"/>
    <cellStyle name="RISKltandbEdge 8 12 2" xfId="10191" xr:uid="{CBED5D0D-969F-446F-8E24-4A244324CB42}"/>
    <cellStyle name="RISKltandbEdge 8 13" xfId="7516" xr:uid="{FDE33063-6E49-439A-806C-B183505E5A28}"/>
    <cellStyle name="RISKltandbEdge 8 13 2" xfId="10650" xr:uid="{30D8D19B-A847-4CFA-8F67-4E122D29523E}"/>
    <cellStyle name="RISKltandbEdge 8 14" xfId="7654" xr:uid="{C33D6D28-80A3-4408-A328-3BDE136F4E0A}"/>
    <cellStyle name="RISKltandbEdge 8 14 2" xfId="10787" xr:uid="{C15D733E-63EA-4F73-AF47-99F035EE38AC}"/>
    <cellStyle name="RISKltandbEdge 8 15" xfId="4538" xr:uid="{D5BBAAA2-ED8D-462F-A37C-D488BD3CDC33}"/>
    <cellStyle name="RISKltandbEdge 8 16" xfId="4293" xr:uid="{7F15B6C2-465E-4A65-A023-CC15DE225D49}"/>
    <cellStyle name="RISKltandbEdge 8 17" xfId="11040" xr:uid="{63DCE828-A2C9-4FC2-B75A-8D4617B67A16}"/>
    <cellStyle name="RISKltandbEdge 8 18" xfId="11456" xr:uid="{336D9EF2-9EB1-45C1-AABB-833114F77344}"/>
    <cellStyle name="RISKltandbEdge 8 19" xfId="11605" xr:uid="{AA4AFEA5-8735-420C-99DF-A1A8066075BE}"/>
    <cellStyle name="RISKltandbEdge 8 2" xfId="1338" xr:uid="{00000000-0005-0000-0000-0000F5050000}"/>
    <cellStyle name="RISKltandbEdge 8 2 2" xfId="3449" xr:uid="{D4C79BE0-2050-4580-9716-6464B8AC9A52}"/>
    <cellStyle name="RISKltandbEdge 8 2 3" xfId="4755" xr:uid="{1ADA1CF7-99C2-4B50-9005-B19DC064BDA3}"/>
    <cellStyle name="RISKltandbEdge 8 2 4" xfId="7965" xr:uid="{1D99FAA9-1162-41BE-BD0F-8D6C759964FF}"/>
    <cellStyle name="RISKltandbEdge 8 20" xfId="11739" xr:uid="{6D2706A3-359D-44FE-B705-2AE39E01E59F}"/>
    <cellStyle name="RISKltandbEdge 8 21" xfId="12151" xr:uid="{3AFFC7D7-5313-4C87-888A-A394F923239E}"/>
    <cellStyle name="RISKltandbEdge 8 22" xfId="12758" xr:uid="{A90CB074-7913-47DE-BABA-14E55054AF65}"/>
    <cellStyle name="RISKltandbEdge 8 23" xfId="12899" xr:uid="{853F3043-1F61-4FDE-B67F-CE7BDDBD81D4}"/>
    <cellStyle name="RISKltandbEdge 8 24" xfId="13261" xr:uid="{5D8121F2-292D-4890-9EC4-85D96D60EC74}"/>
    <cellStyle name="RISKltandbEdge 8 25" xfId="13390" xr:uid="{24F765B1-8D65-42E2-84EE-F0DB6058EF8C}"/>
    <cellStyle name="RISKltandbEdge 8 3" xfId="1557" xr:uid="{00000000-0005-0000-0000-0000F6050000}"/>
    <cellStyle name="RISKltandbEdge 8 3 2" xfId="3658" xr:uid="{E61F6F34-402F-47C3-BAC2-83FE4C9DAB0F}"/>
    <cellStyle name="RISKltandbEdge 8 3 3" xfId="4966" xr:uid="{2E7A794E-4529-453F-A892-DC5CE1E7BD6B}"/>
    <cellStyle name="RISKltandbEdge 8 3 4" xfId="8173" xr:uid="{BDDBA2AE-1695-482D-A4DB-EC3DCF262245}"/>
    <cellStyle name="RISKltandbEdge 8 4" xfId="1814" xr:uid="{00000000-0005-0000-0000-0000F7050000}"/>
    <cellStyle name="RISKltandbEdge 8 4 2" xfId="3914" xr:uid="{42C6E4DD-C034-49F5-B332-D111B3AED5D3}"/>
    <cellStyle name="RISKltandbEdge 8 4 3" xfId="5218" xr:uid="{49DEDA2D-FD9D-48F9-9FBB-618478B638AB}"/>
    <cellStyle name="RISKltandbEdge 8 4 4" xfId="8412" xr:uid="{0C93E5FA-8551-48E2-8DEE-1C587077CFC1}"/>
    <cellStyle name="RISKltandbEdge 8 5" xfId="2068" xr:uid="{00000000-0005-0000-0000-0000F8050000}"/>
    <cellStyle name="RISKltandbEdge 8 5 2" xfId="4158" xr:uid="{5DB9036B-2EED-4E5E-858E-A031DB51E9EB}"/>
    <cellStyle name="RISKltandbEdge 8 5 3" xfId="5456" xr:uid="{6D2A41F8-036E-4B9D-A2CF-21545331D61B}"/>
    <cellStyle name="RISKltandbEdge 8 5 4" xfId="8648" xr:uid="{92F4CFD6-B147-4EB5-992E-FD56D2216164}"/>
    <cellStyle name="RISKltandbEdge 8 6" xfId="2310" xr:uid="{56F21695-5D17-44D3-8E2E-62D5CE45B033}"/>
    <cellStyle name="RISKltandbEdge 8 6 2" xfId="5692" xr:uid="{C7CCF8A3-0595-4AC9-AEFE-3794E2CEE995}"/>
    <cellStyle name="RISKltandbEdge 8 6 3" xfId="8884" xr:uid="{02490844-F95D-4465-9CDF-23205B4BCD47}"/>
    <cellStyle name="RISKltandbEdge 8 7" xfId="2546" xr:uid="{13CF9F40-70E4-48FB-B6F4-E96C9A39880E}"/>
    <cellStyle name="RISKltandbEdge 8 7 2" xfId="5922" xr:uid="{5E5735C8-3427-49D4-8838-2D2EC7988AD4}"/>
    <cellStyle name="RISKltandbEdge 8 7 3" xfId="9114" xr:uid="{66C47194-F91A-448F-B581-CE723E984ED2}"/>
    <cellStyle name="RISKltandbEdge 8 8" xfId="2785" xr:uid="{715D2025-06BF-4341-AAC0-29D8D40EF2CC}"/>
    <cellStyle name="RISKltandbEdge 8 8 2" xfId="6155" xr:uid="{CC5780B1-234B-4E92-9E4C-3C8371EFE346}"/>
    <cellStyle name="RISKltandbEdge 8 8 3" xfId="9344" xr:uid="{E6C6B4E0-52A6-45F4-9C63-F58E6C413C42}"/>
    <cellStyle name="RISKltandbEdge 8 9" xfId="3232" xr:uid="{8E61F0C6-6FBB-4766-A6EF-2E44F27940ED}"/>
    <cellStyle name="RISKltandbEdge 8 9 2" xfId="6388" xr:uid="{8A7A2CF8-05B8-4FA1-9F74-0E91897816A3}"/>
    <cellStyle name="RISKltandbEdge 8 9 3" xfId="9574" xr:uid="{22C4C717-F777-4333-A82A-4DFCA4D017C4}"/>
    <cellStyle name="RISKltandbEdge 9" xfId="1324" xr:uid="{00000000-0005-0000-0000-0000F9050000}"/>
    <cellStyle name="RISKltandbEdge 9 2" xfId="3435" xr:uid="{393DA698-8CC2-4672-9316-2F58E223FA4C}"/>
    <cellStyle name="RISKltandbEdge 9 3" xfId="4741" xr:uid="{E79F151A-B29D-4665-9159-E3CF878C933B}"/>
    <cellStyle name="RISKltandbEdge 9 4" xfId="7951" xr:uid="{787F2413-F741-46DE-B279-45F2E490B7B2}"/>
    <cellStyle name="RISKnormBoxed" xfId="1013" xr:uid="{00000000-0005-0000-0000-0000FA050000}"/>
    <cellStyle name="RISKnormBoxed 10" xfId="1815" xr:uid="{00000000-0005-0000-0000-0000FB050000}"/>
    <cellStyle name="RISKnormBoxed 10 2" xfId="3915" xr:uid="{B8788579-9F9B-4EF7-B10B-36801DB42B0E}"/>
    <cellStyle name="RISKnormBoxed 10 3" xfId="5219" xr:uid="{5DCDDE65-CB54-4788-9254-176114FAD12E}"/>
    <cellStyle name="RISKnormBoxed 10 4" xfId="8413" xr:uid="{EE5831C5-CE8B-459E-886E-A44DB5B7BB7D}"/>
    <cellStyle name="RISKnormBoxed 11" xfId="2069" xr:uid="{00000000-0005-0000-0000-0000FC050000}"/>
    <cellStyle name="RISKnormBoxed 11 2" xfId="4159" xr:uid="{AC7C5BAB-3FF5-439B-BDF3-42AAC8507066}"/>
    <cellStyle name="RISKnormBoxed 11 3" xfId="5457" xr:uid="{452154F7-A784-4E2B-A708-30FCFE9E0830}"/>
    <cellStyle name="RISKnormBoxed 11 4" xfId="8649" xr:uid="{A29FBD16-F17D-400B-BFEC-410B7703DF84}"/>
    <cellStyle name="RISKnormBoxed 12" xfId="2311" xr:uid="{98317B34-AE07-4788-B154-FF25418DCE9B}"/>
    <cellStyle name="RISKnormBoxed 12 2" xfId="5693" xr:uid="{A3546BF8-4E6B-48FB-9BF5-74DDC069A58E}"/>
    <cellStyle name="RISKnormBoxed 12 3" xfId="8885" xr:uid="{206FA1D8-B8CF-45F2-B8A8-9FDE66DD5E76}"/>
    <cellStyle name="RISKnormBoxed 13" xfId="2547" xr:uid="{BB364767-0541-45B6-8E21-6E8AEB7A1C5D}"/>
    <cellStyle name="RISKnormBoxed 13 2" xfId="5923" xr:uid="{37CDCD7C-061D-42B7-8B8C-77F1D9BFDA1C}"/>
    <cellStyle name="RISKnormBoxed 13 3" xfId="9115" xr:uid="{DE58DA91-6F8E-4832-AFB5-2733F3AC7B1D}"/>
    <cellStyle name="RISKnormBoxed 14" xfId="2786" xr:uid="{4FA0A9E1-5873-4B90-BD10-56BD3ED560AB}"/>
    <cellStyle name="RISKnormBoxed 14 2" xfId="6156" xr:uid="{0C834E11-D55C-4128-B715-2AB7705E5488}"/>
    <cellStyle name="RISKnormBoxed 14 3" xfId="9345" xr:uid="{F48E8C7B-0B41-4C2D-BF15-09EDE9700CFC}"/>
    <cellStyle name="RISKnormBoxed 15" xfId="3006" xr:uid="{7CA1DBD7-F6D6-441D-B22B-F28CA87C5432}"/>
    <cellStyle name="RISKnormBoxed 15 2" xfId="6389" xr:uid="{312BC68D-D7AB-4739-A02E-DCA8C29C6E7E}"/>
    <cellStyle name="RISKnormBoxed 15 3" xfId="9575" xr:uid="{115BC2E8-E99F-46F8-A6DE-0B2EFB84B8AA}"/>
    <cellStyle name="RISKnormBoxed 16" xfId="3233" xr:uid="{4A71DBFC-3F8C-432C-9C03-90AF4870990D}"/>
    <cellStyle name="RISKnormBoxed 16 2" xfId="6652" xr:uid="{B60AAA44-9E49-4728-8A7D-CE9AFED38B4E}"/>
    <cellStyle name="RISKnormBoxed 16 3" xfId="9817" xr:uid="{2652D86B-CA9D-42FE-AC81-67C86241BC1F}"/>
    <cellStyle name="RISKnormBoxed 17" xfId="6914" xr:uid="{FD419995-4490-48BF-93D7-A33DA20BAA40}"/>
    <cellStyle name="RISKnormBoxed 17 2" xfId="10059" xr:uid="{C59B1816-AF40-4BD5-9BB2-9D209F3B7892}"/>
    <cellStyle name="RISKnormBoxed 18" xfId="7178" xr:uid="{9CDD365F-B880-4A3F-9F91-6DBEDA5398F8}"/>
    <cellStyle name="RISKnormBoxed 18 2" xfId="10317" xr:uid="{58D239EB-CCF0-4553-A39E-4419E0CF5F89}"/>
    <cellStyle name="RISKnormBoxed 19" xfId="7517" xr:uid="{85225FBC-4D42-4DBE-BF1B-4FDBC2F08D1A}"/>
    <cellStyle name="RISKnormBoxed 19 2" xfId="10651" xr:uid="{F6BD104B-D315-4712-AE28-A0AE4653984A}"/>
    <cellStyle name="RISKnormBoxed 2" xfId="1014" xr:uid="{00000000-0005-0000-0000-0000FD050000}"/>
    <cellStyle name="RISKnormBoxed 2 10" xfId="3234" xr:uid="{0628CDFD-54FD-47EC-A333-3B2EA43D9941}"/>
    <cellStyle name="RISKnormBoxed 2 10 2" xfId="6653" xr:uid="{0361FFC4-932D-41B4-A4F1-A58408569204}"/>
    <cellStyle name="RISKnormBoxed 2 10 3" xfId="9818" xr:uid="{8E58C0EB-0847-4617-902A-9A0C174F9840}"/>
    <cellStyle name="RISKnormBoxed 2 11" xfId="6915" xr:uid="{AB928886-D1A3-4536-BC41-5AECAAB24180}"/>
    <cellStyle name="RISKnormBoxed 2 11 2" xfId="10060" xr:uid="{5E8FCCF1-96C6-4896-98D5-7FEF3F9D7EA7}"/>
    <cellStyle name="RISKnormBoxed 2 12" xfId="7179" xr:uid="{BB803F40-0652-4783-97F6-891CDD0B14A7}"/>
    <cellStyle name="RISKnormBoxed 2 12 2" xfId="10318" xr:uid="{19973859-094C-40EE-ABB2-4E13432206A8}"/>
    <cellStyle name="RISKnormBoxed 2 13" xfId="7518" xr:uid="{A44CCB51-4B84-4DAA-8341-32D18648AC2F}"/>
    <cellStyle name="RISKnormBoxed 2 13 2" xfId="10652" xr:uid="{D44B7B22-FAB6-41D3-878B-6CE923B46959}"/>
    <cellStyle name="RISKnormBoxed 2 14" xfId="7656" xr:uid="{270BB687-2439-4E6E-8473-467C4A789804}"/>
    <cellStyle name="RISKnormBoxed 2 14 2" xfId="10789" xr:uid="{19A4B74C-A11B-4CE2-980A-1A80FAB873FA}"/>
    <cellStyle name="RISKnormBoxed 2 15" xfId="4540" xr:uid="{9C30717F-F196-454C-8EDA-5CD97BA09B4A}"/>
    <cellStyle name="RISKnormBoxed 2 16" xfId="4291" xr:uid="{B956B931-2776-458C-B923-21C009D27926}"/>
    <cellStyle name="RISKnormBoxed 2 17" xfId="11042" xr:uid="{82B2BD3B-3F0C-4868-8F91-34E727733441}"/>
    <cellStyle name="RISKnormBoxed 2 18" xfId="11458" xr:uid="{C95E9327-C5EF-44C8-B22C-2E1B7B358BD5}"/>
    <cellStyle name="RISKnormBoxed 2 19" xfId="11607" xr:uid="{1A4BF9CB-7126-46D3-9DE5-E0C44C39024C}"/>
    <cellStyle name="RISKnormBoxed 2 2" xfId="1015" xr:uid="{00000000-0005-0000-0000-0000FE050000}"/>
    <cellStyle name="RISKnormBoxed 2 2 10" xfId="6916" xr:uid="{708EE6D4-3355-4EC6-86D7-9E8CDC2D7394}"/>
    <cellStyle name="RISKnormBoxed 2 2 10 2" xfId="10061" xr:uid="{22278BE6-2A8E-41E8-BCCC-EAE9EA12860B}"/>
    <cellStyle name="RISKnormBoxed 2 2 11" xfId="7180" xr:uid="{4FD0FDFB-E269-4572-B1E3-A07C53A04D39}"/>
    <cellStyle name="RISKnormBoxed 2 2 11 2" xfId="10319" xr:uid="{325BC20E-993F-4CF7-8233-6EFA03DD066F}"/>
    <cellStyle name="RISKnormBoxed 2 2 12" xfId="7519" xr:uid="{0A552D27-2FCD-4886-8C5A-702F8FCB12DD}"/>
    <cellStyle name="RISKnormBoxed 2 2 12 2" xfId="10653" xr:uid="{CEFFE5F4-695B-4441-9877-FE000A642BDD}"/>
    <cellStyle name="RISKnormBoxed 2 2 13" xfId="7657" xr:uid="{67C2941E-5741-4018-A88F-4E8B7AE4CA01}"/>
    <cellStyle name="RISKnormBoxed 2 2 13 2" xfId="10790" xr:uid="{2C91115A-5AB9-45BF-84C4-CA6AEF76C00C}"/>
    <cellStyle name="RISKnormBoxed 2 2 14" xfId="4541" xr:uid="{85611DCD-233E-4BB2-B197-546C6632FAB1}"/>
    <cellStyle name="RISKnormBoxed 2 2 15" xfId="4290" xr:uid="{D4E5B098-12BA-435D-818D-ECD9392454B9}"/>
    <cellStyle name="RISKnormBoxed 2 2 16" xfId="11043" xr:uid="{7CDA3883-B5D5-4CA5-BA27-7D7BF1707D5E}"/>
    <cellStyle name="RISKnormBoxed 2 2 17" xfId="11459" xr:uid="{90C6433A-1D00-49C4-9CD9-4A1253D8162A}"/>
    <cellStyle name="RISKnormBoxed 2 2 18" xfId="11608" xr:uid="{7B5A7560-3925-4581-AC5C-1212EDE960AB}"/>
    <cellStyle name="RISKnormBoxed 2 2 19" xfId="11917" xr:uid="{6A4C727B-8298-46CF-B32B-29D7CCA4BD63}"/>
    <cellStyle name="RISKnormBoxed 2 2 2" xfId="1560" xr:uid="{00000000-0005-0000-0000-0000FF050000}"/>
    <cellStyle name="RISKnormBoxed 2 2 2 2" xfId="3661" xr:uid="{EA2DECE6-62CF-4321-A5EC-D9876F120EF9}"/>
    <cellStyle name="RISKnormBoxed 2 2 2 3" xfId="4969" xr:uid="{512F8F72-0BA1-4CEC-BEDE-56461CA338C2}"/>
    <cellStyle name="RISKnormBoxed 2 2 2 4" xfId="8176" xr:uid="{EDB15BCF-9C0D-4F0F-9FCD-C8A77618C65F}"/>
    <cellStyle name="RISKnormBoxed 2 2 20" xfId="12154" xr:uid="{C7081CC9-7F30-476E-8E2E-5C6314DF085F}"/>
    <cellStyle name="RISKnormBoxed 2 2 21" xfId="12611" xr:uid="{4AD4BB98-AF7D-457F-B07E-EF184A688487}"/>
    <cellStyle name="RISKnormBoxed 2 2 22" xfId="12761" xr:uid="{D7FAB0CD-2344-4802-A9D8-8F5D3B05C0BC}"/>
    <cellStyle name="RISKnormBoxed 2 2 23" xfId="12902" xr:uid="{4CA7E74D-31AC-4EE3-8001-B45E07981C7E}"/>
    <cellStyle name="RISKnormBoxed 2 2 24" xfId="13264" xr:uid="{F1EACDD6-E3B6-4931-97A7-E4F2B04D2054}"/>
    <cellStyle name="RISKnormBoxed 2 2 25" xfId="13393" xr:uid="{17CEDEA2-9CF4-4482-B98B-5C3CDBE3A642}"/>
    <cellStyle name="RISKnormBoxed 2 2 3" xfId="1817" xr:uid="{00000000-0005-0000-0000-000000060000}"/>
    <cellStyle name="RISKnormBoxed 2 2 3 2" xfId="3917" xr:uid="{8977F14B-C5EB-4BE0-B8CC-A0F5794AAF05}"/>
    <cellStyle name="RISKnormBoxed 2 2 3 3" xfId="5221" xr:uid="{7CDA2B27-29FC-4549-820E-959DCD1FE325}"/>
    <cellStyle name="RISKnormBoxed 2 2 3 4" xfId="8415" xr:uid="{BC842CEB-DD2D-45BC-B511-24D66EC8B61D}"/>
    <cellStyle name="RISKnormBoxed 2 2 4" xfId="2071" xr:uid="{00000000-0005-0000-0000-000001060000}"/>
    <cellStyle name="RISKnormBoxed 2 2 4 2" xfId="4161" xr:uid="{0D62FA6F-545E-4AFD-9011-B18BAEF9A0BF}"/>
    <cellStyle name="RISKnormBoxed 2 2 4 3" xfId="5459" xr:uid="{76C6830E-6F12-4F87-A364-436577BBDD7C}"/>
    <cellStyle name="RISKnormBoxed 2 2 4 4" xfId="8651" xr:uid="{0D801200-36D7-413B-8F56-67BA12BB8858}"/>
    <cellStyle name="RISKnormBoxed 2 2 5" xfId="2313" xr:uid="{CF489F49-336D-4C1E-BBC0-3541F451EFF0}"/>
    <cellStyle name="RISKnormBoxed 2 2 5 2" xfId="5695" xr:uid="{4D3FF1BB-6835-4635-B052-2CFC52E1AFC3}"/>
    <cellStyle name="RISKnormBoxed 2 2 5 3" xfId="8887" xr:uid="{7B2869EA-4050-4D88-A8DE-3425CBA7D40B}"/>
    <cellStyle name="RISKnormBoxed 2 2 6" xfId="2549" xr:uid="{AA10FD52-1777-49EA-8AFE-C90E4A102B7F}"/>
    <cellStyle name="RISKnormBoxed 2 2 6 2" xfId="5925" xr:uid="{346234B2-1916-43F7-9CC6-A8923E401765}"/>
    <cellStyle name="RISKnormBoxed 2 2 6 3" xfId="9117" xr:uid="{BD545745-2C35-40D5-89F3-2F29B34B4571}"/>
    <cellStyle name="RISKnormBoxed 2 2 7" xfId="2788" xr:uid="{1977D809-5D53-46DE-BF26-E12555EC5F62}"/>
    <cellStyle name="RISKnormBoxed 2 2 7 2" xfId="6158" xr:uid="{F31E199E-5984-4D02-BC1E-BE0BB1241356}"/>
    <cellStyle name="RISKnormBoxed 2 2 7 3" xfId="9347" xr:uid="{C9CE9663-7D0E-4AE3-A06C-C2AE7A83946E}"/>
    <cellStyle name="RISKnormBoxed 2 2 8" xfId="3008" xr:uid="{B64934CF-992A-418A-8241-258946E3F2E7}"/>
    <cellStyle name="RISKnormBoxed 2 2 8 2" xfId="6391" xr:uid="{6FE1A308-821F-47FC-BFE9-305E03EB20CC}"/>
    <cellStyle name="RISKnormBoxed 2 2 8 3" xfId="9577" xr:uid="{33B6EFA9-9186-4F0F-8113-F5567AAE8A5B}"/>
    <cellStyle name="RISKnormBoxed 2 2 9" xfId="3235" xr:uid="{00C49A81-73A5-48A2-B201-F16AA27B1F4B}"/>
    <cellStyle name="RISKnormBoxed 2 2 9 2" xfId="6654" xr:uid="{64C9348D-C2E1-47E4-BE90-6DAA11217743}"/>
    <cellStyle name="RISKnormBoxed 2 2 9 3" xfId="9819" xr:uid="{EC971BB8-51F8-4DFD-B335-58CDBB0F6385}"/>
    <cellStyle name="RISKnormBoxed 2 20" xfId="11916" xr:uid="{525C2772-5283-4E4F-B5B8-C850D3A34940}"/>
    <cellStyle name="RISKnormBoxed 2 21" xfId="12153" xr:uid="{287BBE0B-94A4-4429-A35D-86EADC700C47}"/>
    <cellStyle name="RISKnormBoxed 2 22" xfId="12610" xr:uid="{03A3F774-BF67-4F9F-9EA0-6506CB27E0AA}"/>
    <cellStyle name="RISKnormBoxed 2 23" xfId="12760" xr:uid="{041C3FDD-90B1-418F-8F2E-E8A7F96815B4}"/>
    <cellStyle name="RISKnormBoxed 2 24" xfId="12901" xr:uid="{60E5C4A0-B771-4242-9B15-D368033ACA5E}"/>
    <cellStyle name="RISKnormBoxed 2 25" xfId="13263" xr:uid="{538F855F-DDAF-4C94-AA89-40F83243D84B}"/>
    <cellStyle name="RISKnormBoxed 2 26" xfId="13392" xr:uid="{7E0B2944-E0CF-4DC2-AF3C-356CEC381859}"/>
    <cellStyle name="RISKnormBoxed 2 3" xfId="1559" xr:uid="{00000000-0005-0000-0000-000002060000}"/>
    <cellStyle name="RISKnormBoxed 2 3 2" xfId="3660" xr:uid="{1DEB48F2-4257-41F4-9CBB-C17C4CFCD63F}"/>
    <cellStyle name="RISKnormBoxed 2 3 3" xfId="4968" xr:uid="{D7AB917E-483D-4278-9FDE-1083220F06D7}"/>
    <cellStyle name="RISKnormBoxed 2 3 4" xfId="8175" xr:uid="{ABE3C6AA-8863-4197-872F-F80A0011E943}"/>
    <cellStyle name="RISKnormBoxed 2 4" xfId="1816" xr:uid="{00000000-0005-0000-0000-000003060000}"/>
    <cellStyle name="RISKnormBoxed 2 4 2" xfId="3916" xr:uid="{A5CBC4BE-DD32-47BE-9208-F795D83F87C9}"/>
    <cellStyle name="RISKnormBoxed 2 4 3" xfId="5220" xr:uid="{6C1B502A-5D4C-4481-A69B-5B3F8697FC96}"/>
    <cellStyle name="RISKnormBoxed 2 4 4" xfId="8414" xr:uid="{039C9A5A-38FA-4638-80FB-F9492367FA85}"/>
    <cellStyle name="RISKnormBoxed 2 5" xfId="2070" xr:uid="{00000000-0005-0000-0000-000004060000}"/>
    <cellStyle name="RISKnormBoxed 2 5 2" xfId="4160" xr:uid="{0C5680D8-842A-43E5-9D19-6040ABC9E4B2}"/>
    <cellStyle name="RISKnormBoxed 2 5 3" xfId="5458" xr:uid="{3C469C01-7ADC-47F2-A580-FCEC764AF333}"/>
    <cellStyle name="RISKnormBoxed 2 5 4" xfId="8650" xr:uid="{2903217F-07D7-4B63-ABFB-53B5FCABAEBF}"/>
    <cellStyle name="RISKnormBoxed 2 6" xfId="2312" xr:uid="{4DF9AEC9-BAD1-4925-8FBC-CBAD15E32E7C}"/>
    <cellStyle name="RISKnormBoxed 2 6 2" xfId="5694" xr:uid="{ADAC1F9A-57E3-41D7-BF2D-1E1274A45EB7}"/>
    <cellStyle name="RISKnormBoxed 2 6 3" xfId="8886" xr:uid="{5899A746-103E-4511-A88D-90D2DD90F069}"/>
    <cellStyle name="RISKnormBoxed 2 7" xfId="2548" xr:uid="{2C48FF4E-1DB4-4876-A94F-01938EF49762}"/>
    <cellStyle name="RISKnormBoxed 2 7 2" xfId="5924" xr:uid="{66E2D79B-BAEB-4E33-B837-B5F97632D69D}"/>
    <cellStyle name="RISKnormBoxed 2 7 3" xfId="9116" xr:uid="{7DF35B25-AE6F-43BF-9970-23379E6F2205}"/>
    <cellStyle name="RISKnormBoxed 2 8" xfId="2787" xr:uid="{5A9B8C2A-E134-4EB5-9D7D-C3A2BD7C0540}"/>
    <cellStyle name="RISKnormBoxed 2 8 2" xfId="6157" xr:uid="{8D45AAD3-FBCD-4B3F-B19F-B0DD6217E80F}"/>
    <cellStyle name="RISKnormBoxed 2 8 3" xfId="9346" xr:uid="{D8694AC2-A61B-442C-8981-084C159F07D7}"/>
    <cellStyle name="RISKnormBoxed 2 9" xfId="3007" xr:uid="{837BD12C-82DB-417B-9751-8B3BD25FD5CE}"/>
    <cellStyle name="RISKnormBoxed 2 9 2" xfId="6390" xr:uid="{A923996C-B1F5-456F-87C2-727522B0B915}"/>
    <cellStyle name="RISKnormBoxed 2 9 3" xfId="9576" xr:uid="{C545D48F-37E0-4724-9EFB-EE2A5BF5341D}"/>
    <cellStyle name="RISKnormBoxed 20" xfId="7655" xr:uid="{FE1AD0AB-D9F3-49FD-BEE9-A7E8E359D34C}"/>
    <cellStyle name="RISKnormBoxed 20 2" xfId="10788" xr:uid="{25CC5F8A-A10D-40E1-853D-37EAD1BF54F1}"/>
    <cellStyle name="RISKnormBoxed 21" xfId="4539" xr:uid="{FEB2E3CE-54A1-4F94-AE7A-CEB5E26D523B}"/>
    <cellStyle name="RISKnormBoxed 22" xfId="4292" xr:uid="{9D007ABF-AC1F-4065-9340-1F97E8D247D8}"/>
    <cellStyle name="RISKnormBoxed 23" xfId="11041" xr:uid="{095AE893-1F88-4D35-943D-DF911E1A7BD1}"/>
    <cellStyle name="RISKnormBoxed 24" xfId="11457" xr:uid="{235B8229-0C3C-455B-995F-D06047D05AD3}"/>
    <cellStyle name="RISKnormBoxed 25" xfId="11606" xr:uid="{204F2314-17F3-44DF-AB3B-0F85A8BF3149}"/>
    <cellStyle name="RISKnormBoxed 26" xfId="11915" xr:uid="{EF87C708-2E95-401A-8E27-0F76CA3058AF}"/>
    <cellStyle name="RISKnormBoxed 27" xfId="12152" xr:uid="{D55709D9-165C-47DC-8EDB-0D90E23B7080}"/>
    <cellStyle name="RISKnormBoxed 28" xfId="12609" xr:uid="{CE4D9758-3142-43C6-975F-E110A36E7886}"/>
    <cellStyle name="RISKnormBoxed 29" xfId="12759" xr:uid="{EE2EBC10-E1AE-41F5-8D57-4741ED1F3EAC}"/>
    <cellStyle name="RISKnormBoxed 3" xfId="1016" xr:uid="{00000000-0005-0000-0000-000005060000}"/>
    <cellStyle name="RISKnormBoxed 3 10" xfId="3236" xr:uid="{1402DFE8-ABF7-4C66-A19A-70C4C3AA071C}"/>
    <cellStyle name="RISKnormBoxed 3 10 2" xfId="6655" xr:uid="{EBE677CA-2912-4E17-A725-AC737E47BC39}"/>
    <cellStyle name="RISKnormBoxed 3 10 3" xfId="9820" xr:uid="{5A79A781-B134-452E-9AE9-03E275DC7341}"/>
    <cellStyle name="RISKnormBoxed 3 11" xfId="6917" xr:uid="{66DB3A06-FA56-4953-B11E-9A3BF0DCDAE4}"/>
    <cellStyle name="RISKnormBoxed 3 11 2" xfId="10062" xr:uid="{C38B0445-F1A5-490C-AADF-7644805B8382}"/>
    <cellStyle name="RISKnormBoxed 3 12" xfId="7181" xr:uid="{4A65708C-4D25-45AD-8295-E4AC4E0AD0D0}"/>
    <cellStyle name="RISKnormBoxed 3 12 2" xfId="10320" xr:uid="{BB9B5C38-032C-4BF5-AE55-F153A23D6D3B}"/>
    <cellStyle name="RISKnormBoxed 3 13" xfId="7520" xr:uid="{460C6F8C-AE6F-40B3-9044-E47A3BD596A4}"/>
    <cellStyle name="RISKnormBoxed 3 13 2" xfId="10654" xr:uid="{F14C3AB3-44BC-4CB0-AAAC-49667C5F4C52}"/>
    <cellStyle name="RISKnormBoxed 3 14" xfId="7658" xr:uid="{D9FF3A72-2C25-48AF-B9B4-CB8F76D1B037}"/>
    <cellStyle name="RISKnormBoxed 3 14 2" xfId="10791" xr:uid="{20895C90-6663-49E0-9532-3D63B8092C23}"/>
    <cellStyle name="RISKnormBoxed 3 15" xfId="4542" xr:uid="{5ABFA2D4-AD50-4BF6-AA8F-7E324F6DFA63}"/>
    <cellStyle name="RISKnormBoxed 3 16" xfId="4289" xr:uid="{F04D183E-058D-4998-B7E9-F32132035551}"/>
    <cellStyle name="RISKnormBoxed 3 17" xfId="11044" xr:uid="{C212F5F8-80BE-489D-8A9D-BEAD296E6DFC}"/>
    <cellStyle name="RISKnormBoxed 3 18" xfId="11460" xr:uid="{17674FB3-4A08-4416-9D81-406028973820}"/>
    <cellStyle name="RISKnormBoxed 3 19" xfId="11609" xr:uid="{FA68A0C2-7299-4C24-9BD1-FC3112D596DC}"/>
    <cellStyle name="RISKnormBoxed 3 2" xfId="1017" xr:uid="{00000000-0005-0000-0000-000006060000}"/>
    <cellStyle name="RISKnormBoxed 3 2 10" xfId="6918" xr:uid="{33E965A5-A14D-4B55-9E1A-0F1518C13982}"/>
    <cellStyle name="RISKnormBoxed 3 2 10 2" xfId="10063" xr:uid="{C5129174-EBB0-451D-AA87-6DB6B14970A0}"/>
    <cellStyle name="RISKnormBoxed 3 2 11" xfId="7182" xr:uid="{6094DCFD-8810-4B25-B26C-9CF8BF86E115}"/>
    <cellStyle name="RISKnormBoxed 3 2 11 2" xfId="10321" xr:uid="{1A27B0E3-D16A-44A4-85C0-D733748B6C17}"/>
    <cellStyle name="RISKnormBoxed 3 2 12" xfId="7521" xr:uid="{05ECEA3A-7EEC-43D8-8BE5-1E3A6B01F1DB}"/>
    <cellStyle name="RISKnormBoxed 3 2 12 2" xfId="10655" xr:uid="{F5D8853A-9F59-4221-BFC2-4A149E7B507D}"/>
    <cellStyle name="RISKnormBoxed 3 2 13" xfId="7659" xr:uid="{9BF235AA-61F2-44FD-AC5E-1DDC05BB66FE}"/>
    <cellStyle name="RISKnormBoxed 3 2 13 2" xfId="10792" xr:uid="{16B56DB2-6C35-4575-8024-4F0C049D6A5E}"/>
    <cellStyle name="RISKnormBoxed 3 2 14" xfId="4543" xr:uid="{3EF2024D-5AA6-4625-9CEA-8970AF461529}"/>
    <cellStyle name="RISKnormBoxed 3 2 15" xfId="4288" xr:uid="{BD3F0AF7-03F6-4B15-819A-834E6DF73773}"/>
    <cellStyle name="RISKnormBoxed 3 2 16" xfId="11045" xr:uid="{F732D968-C059-451F-B25C-1C8ABA46DD01}"/>
    <cellStyle name="RISKnormBoxed 3 2 17" xfId="11461" xr:uid="{A132B0B3-ADA2-42A8-B9B6-EE40414AC66E}"/>
    <cellStyle name="RISKnormBoxed 3 2 18" xfId="11610" xr:uid="{63A6ACAA-6477-47B2-9D82-A8E4A02D4D6A}"/>
    <cellStyle name="RISKnormBoxed 3 2 19" xfId="11919" xr:uid="{F0FE9B48-14A4-4F3B-B6D7-3939C749835E}"/>
    <cellStyle name="RISKnormBoxed 3 2 2" xfId="1562" xr:uid="{00000000-0005-0000-0000-000007060000}"/>
    <cellStyle name="RISKnormBoxed 3 2 2 2" xfId="3663" xr:uid="{9785AED8-ED3A-4637-A55C-5216EB315F01}"/>
    <cellStyle name="RISKnormBoxed 3 2 2 3" xfId="4971" xr:uid="{26E8D6A5-357B-4352-B9AE-879511C865C0}"/>
    <cellStyle name="RISKnormBoxed 3 2 2 4" xfId="8178" xr:uid="{6BCCDA16-2913-48AD-9F56-2FC5BBDD67BD}"/>
    <cellStyle name="RISKnormBoxed 3 2 20" xfId="12156" xr:uid="{1ED036A3-76F3-4F90-A06E-89D4C80885AD}"/>
    <cellStyle name="RISKnormBoxed 3 2 21" xfId="12613" xr:uid="{3A12719B-61A6-499D-8B1C-B1AD3AA07E63}"/>
    <cellStyle name="RISKnormBoxed 3 2 22" xfId="12763" xr:uid="{4CB13D4E-BBA6-46F6-8773-2E71E9E89092}"/>
    <cellStyle name="RISKnormBoxed 3 2 23" xfId="12904" xr:uid="{752423AA-DA59-425A-A45F-1E7C602D8EE6}"/>
    <cellStyle name="RISKnormBoxed 3 2 24" xfId="13266" xr:uid="{0292B423-001E-4912-8B84-AF9F16CED72C}"/>
    <cellStyle name="RISKnormBoxed 3 2 25" xfId="13395" xr:uid="{59F4C312-2139-42BE-860C-ADBAAC39FE31}"/>
    <cellStyle name="RISKnormBoxed 3 2 3" xfId="1819" xr:uid="{00000000-0005-0000-0000-000008060000}"/>
    <cellStyle name="RISKnormBoxed 3 2 3 2" xfId="3919" xr:uid="{B08EA957-571E-42EE-96E2-036EB4276644}"/>
    <cellStyle name="RISKnormBoxed 3 2 3 3" xfId="5223" xr:uid="{9212C272-8BE4-435A-8C2C-6E0BBC6F9EC6}"/>
    <cellStyle name="RISKnormBoxed 3 2 3 4" xfId="8417" xr:uid="{3AB81FA4-C2E4-4A9E-A643-ACBDB898BC2D}"/>
    <cellStyle name="RISKnormBoxed 3 2 4" xfId="2073" xr:uid="{00000000-0005-0000-0000-000009060000}"/>
    <cellStyle name="RISKnormBoxed 3 2 4 2" xfId="4163" xr:uid="{B9F7D37B-C91F-4D06-BBD7-8D7DF6E191FF}"/>
    <cellStyle name="RISKnormBoxed 3 2 4 3" xfId="5461" xr:uid="{1F24DEC7-2343-4E37-8666-B16BD57C8EE9}"/>
    <cellStyle name="RISKnormBoxed 3 2 4 4" xfId="8653" xr:uid="{278938FF-EAFF-454C-B703-1BA2FAF5CA8D}"/>
    <cellStyle name="RISKnormBoxed 3 2 5" xfId="2315" xr:uid="{8ED51120-5405-48BE-AA9A-0470E1365EF0}"/>
    <cellStyle name="RISKnormBoxed 3 2 5 2" xfId="5697" xr:uid="{9B125063-E834-45BB-AA9B-D0D2574C54E7}"/>
    <cellStyle name="RISKnormBoxed 3 2 5 3" xfId="8889" xr:uid="{76DFFE3A-C776-44C8-8FB9-0D1ABA75816A}"/>
    <cellStyle name="RISKnormBoxed 3 2 6" xfId="2551" xr:uid="{A5FBB307-C644-41F1-B195-CA1B2D301370}"/>
    <cellStyle name="RISKnormBoxed 3 2 6 2" xfId="5927" xr:uid="{97827DFE-7996-4FD9-9B0A-30FDF4BA50FE}"/>
    <cellStyle name="RISKnormBoxed 3 2 6 3" xfId="9119" xr:uid="{FE6F6BEA-5203-4886-A64E-424DF613D205}"/>
    <cellStyle name="RISKnormBoxed 3 2 7" xfId="2790" xr:uid="{0DEC4B9A-C41C-47DD-95B1-C8BC803B59FC}"/>
    <cellStyle name="RISKnormBoxed 3 2 7 2" xfId="6160" xr:uid="{EDA5607F-CABF-421D-8A6B-23B6D544EC1C}"/>
    <cellStyle name="RISKnormBoxed 3 2 7 3" xfId="9349" xr:uid="{FC9FE33A-3F50-48DA-83BE-2424526DB8D7}"/>
    <cellStyle name="RISKnormBoxed 3 2 8" xfId="3010" xr:uid="{1D9AA599-CE7A-42E4-A021-BD83C05A62C9}"/>
    <cellStyle name="RISKnormBoxed 3 2 8 2" xfId="6393" xr:uid="{32C9411C-F050-477A-B6BB-9AC16AA7121B}"/>
    <cellStyle name="RISKnormBoxed 3 2 8 3" xfId="9579" xr:uid="{9C0EDDF9-B54C-4677-BEDF-91B0E9B4D2DF}"/>
    <cellStyle name="RISKnormBoxed 3 2 9" xfId="3237" xr:uid="{74E84ED4-86E6-4BBC-94F5-4A6165E3799F}"/>
    <cellStyle name="RISKnormBoxed 3 2 9 2" xfId="6656" xr:uid="{6009847B-D84D-4037-B9E8-3EDE290EAF05}"/>
    <cellStyle name="RISKnormBoxed 3 2 9 3" xfId="9821" xr:uid="{C856017F-DA53-4700-8EF6-D09C7E5C04DC}"/>
    <cellStyle name="RISKnormBoxed 3 20" xfId="11918" xr:uid="{8C43BE80-3133-4A70-A59D-F0475C76C2AB}"/>
    <cellStyle name="RISKnormBoxed 3 21" xfId="12155" xr:uid="{432A37FC-1EA2-45DE-B972-DFBD2D9945F3}"/>
    <cellStyle name="RISKnormBoxed 3 22" xfId="12612" xr:uid="{2427463E-61E9-4B37-B59A-AB40D8360D65}"/>
    <cellStyle name="RISKnormBoxed 3 23" xfId="12762" xr:uid="{312EF113-DEB8-4B6B-B5AF-6783B44BEC79}"/>
    <cellStyle name="RISKnormBoxed 3 24" xfId="12903" xr:uid="{B3B5C42F-88C0-419B-A05B-B16012F52567}"/>
    <cellStyle name="RISKnormBoxed 3 25" xfId="13265" xr:uid="{99436928-B9F9-4C9B-9A3A-679598DE5B2C}"/>
    <cellStyle name="RISKnormBoxed 3 26" xfId="13394" xr:uid="{08F8651D-4395-4F3A-BF3E-1FCAEDDCBA93}"/>
    <cellStyle name="RISKnormBoxed 3 3" xfId="1561" xr:uid="{00000000-0005-0000-0000-00000A060000}"/>
    <cellStyle name="RISKnormBoxed 3 3 2" xfId="3662" xr:uid="{AEEDA62D-ABA3-4AF1-91B0-2FCB5DDEC3B6}"/>
    <cellStyle name="RISKnormBoxed 3 3 3" xfId="4970" xr:uid="{9191A6F8-1F33-46A2-85E1-47CFB917E5CD}"/>
    <cellStyle name="RISKnormBoxed 3 3 4" xfId="8177" xr:uid="{E0C0C1AB-D227-4AF5-A356-5814D75B2BE1}"/>
    <cellStyle name="RISKnormBoxed 3 4" xfId="1818" xr:uid="{00000000-0005-0000-0000-00000B060000}"/>
    <cellStyle name="RISKnormBoxed 3 4 2" xfId="3918" xr:uid="{73D39583-6EF0-4A61-881B-A2F73BABEAC7}"/>
    <cellStyle name="RISKnormBoxed 3 4 3" xfId="5222" xr:uid="{2D3B1A4B-EC07-4618-8168-EFA2B047999D}"/>
    <cellStyle name="RISKnormBoxed 3 4 4" xfId="8416" xr:uid="{DB201BE8-0BFB-4C2F-A16A-DC471240DC2D}"/>
    <cellStyle name="RISKnormBoxed 3 5" xfId="2072" xr:uid="{00000000-0005-0000-0000-00000C060000}"/>
    <cellStyle name="RISKnormBoxed 3 5 2" xfId="4162" xr:uid="{387F4683-40E3-4FB0-83D9-C5E7D607653D}"/>
    <cellStyle name="RISKnormBoxed 3 5 3" xfId="5460" xr:uid="{4ED91CA3-3D46-4D9D-BCEC-D4AD30516A0A}"/>
    <cellStyle name="RISKnormBoxed 3 5 4" xfId="8652" xr:uid="{B4AB4389-4B20-42CA-85BB-C1DA8DC9CDBB}"/>
    <cellStyle name="RISKnormBoxed 3 6" xfId="2314" xr:uid="{EC035706-A40F-4004-ACF8-D868014C9EBF}"/>
    <cellStyle name="RISKnormBoxed 3 6 2" xfId="5696" xr:uid="{F171C14A-E892-438D-B2B1-104F47E7C651}"/>
    <cellStyle name="RISKnormBoxed 3 6 3" xfId="8888" xr:uid="{19EF246F-5C3D-4FF5-89E0-214973364F23}"/>
    <cellStyle name="RISKnormBoxed 3 7" xfId="2550" xr:uid="{87910E92-6CCA-4D93-B9AF-99BFB7BAA922}"/>
    <cellStyle name="RISKnormBoxed 3 7 2" xfId="5926" xr:uid="{8DEFBB6C-AC1A-4CA8-A487-1B290491B06A}"/>
    <cellStyle name="RISKnormBoxed 3 7 3" xfId="9118" xr:uid="{8EBD8AA2-B493-4C73-A1CB-9A9388113B2F}"/>
    <cellStyle name="RISKnormBoxed 3 8" xfId="2789" xr:uid="{8B80028A-19E5-4ECA-9BFA-F9445924A4CD}"/>
    <cellStyle name="RISKnormBoxed 3 8 2" xfId="6159" xr:uid="{C239A9A1-9DA5-4D67-A991-4BF3BDDBFD2D}"/>
    <cellStyle name="RISKnormBoxed 3 8 3" xfId="9348" xr:uid="{2A648E9A-CB3F-44B8-A4B2-7BA55CCC2EC5}"/>
    <cellStyle name="RISKnormBoxed 3 9" xfId="3009" xr:uid="{AE53C8FD-A948-443A-972E-F0502C40D76A}"/>
    <cellStyle name="RISKnormBoxed 3 9 2" xfId="6392" xr:uid="{ED79619F-7E02-494E-8917-0C2EBBC210E8}"/>
    <cellStyle name="RISKnormBoxed 3 9 3" xfId="9578" xr:uid="{0A5773D4-61E9-4505-9ACA-47D7AC03A4ED}"/>
    <cellStyle name="RISKnormBoxed 30" xfId="12900" xr:uid="{D32A42F0-AB73-402D-A0B6-09C6774D7064}"/>
    <cellStyle name="RISKnormBoxed 31" xfId="13262" xr:uid="{F0132680-0FC3-4257-A912-32C076166E68}"/>
    <cellStyle name="RISKnormBoxed 32" xfId="13391" xr:uid="{A99EE85C-61CE-4DC0-B272-43D64F86906E}"/>
    <cellStyle name="RISKnormBoxed 4" xfId="1018" xr:uid="{00000000-0005-0000-0000-00000D060000}"/>
    <cellStyle name="RISKnormBoxed 4 10" xfId="3238" xr:uid="{FA2B833E-7C59-4EF4-9E3B-A9E9BDA51938}"/>
    <cellStyle name="RISKnormBoxed 4 10 2" xfId="6657" xr:uid="{A5C27798-1E0F-414C-9F20-3CF5FF2671F1}"/>
    <cellStyle name="RISKnormBoxed 4 10 3" xfId="9822" xr:uid="{38420C17-2629-4E08-80F0-DBC62E49A9F3}"/>
    <cellStyle name="RISKnormBoxed 4 11" xfId="6919" xr:uid="{9D08C3A5-A985-4FC7-AFC1-489DBA6CE47E}"/>
    <cellStyle name="RISKnormBoxed 4 11 2" xfId="10064" xr:uid="{A12CACC6-E26B-4611-BA12-553A26D41389}"/>
    <cellStyle name="RISKnormBoxed 4 12" xfId="7183" xr:uid="{A696B819-59EF-468C-97BF-40EFDA0792A9}"/>
    <cellStyle name="RISKnormBoxed 4 12 2" xfId="10322" xr:uid="{AAEF5DA1-EA88-4123-BD49-8332A0F1DF27}"/>
    <cellStyle name="RISKnormBoxed 4 13" xfId="7522" xr:uid="{162EDDF4-11EE-4B29-8725-31085A828271}"/>
    <cellStyle name="RISKnormBoxed 4 13 2" xfId="10656" xr:uid="{1A88EB75-780E-4364-8D32-C77B154E0BB8}"/>
    <cellStyle name="RISKnormBoxed 4 14" xfId="7660" xr:uid="{108D0357-AF1A-4BE8-93D1-1BA3091BA6ED}"/>
    <cellStyle name="RISKnormBoxed 4 14 2" xfId="10793" xr:uid="{BB586A0B-C825-45E0-9E4E-5E67C39EA52E}"/>
    <cellStyle name="RISKnormBoxed 4 15" xfId="4544" xr:uid="{D0FB5D38-4447-4B65-8061-083E0BE27A3B}"/>
    <cellStyle name="RISKnormBoxed 4 16" xfId="4287" xr:uid="{E284FFDC-BD68-483C-A45B-F62E32D6C731}"/>
    <cellStyle name="RISKnormBoxed 4 17" xfId="11046" xr:uid="{B21D2DC7-7DD8-47CC-80EB-476BB171DB63}"/>
    <cellStyle name="RISKnormBoxed 4 18" xfId="11462" xr:uid="{D941E1D0-2BDA-44E6-8BE6-BA25CAD7D7CA}"/>
    <cellStyle name="RISKnormBoxed 4 19" xfId="11611" xr:uid="{CEC79420-7259-40F5-A60A-48AF294C0D86}"/>
    <cellStyle name="RISKnormBoxed 4 2" xfId="1019" xr:uid="{00000000-0005-0000-0000-00000E060000}"/>
    <cellStyle name="RISKnormBoxed 4 2 10" xfId="6920" xr:uid="{E0D27C8B-640A-43AD-A016-6C34BC057B05}"/>
    <cellStyle name="RISKnormBoxed 4 2 10 2" xfId="10065" xr:uid="{6EBCF390-40C1-494C-8ED1-D197CB5226DD}"/>
    <cellStyle name="RISKnormBoxed 4 2 11" xfId="7184" xr:uid="{F670508C-BF74-4289-8EBB-2B5F87F3DF62}"/>
    <cellStyle name="RISKnormBoxed 4 2 11 2" xfId="10323" xr:uid="{201EFC28-9A92-466F-865D-B9172F96D450}"/>
    <cellStyle name="RISKnormBoxed 4 2 12" xfId="7523" xr:uid="{C63803E7-A7E4-480D-9DF7-061F3950A381}"/>
    <cellStyle name="RISKnormBoxed 4 2 12 2" xfId="10657" xr:uid="{B9926D23-1C1F-477D-AF50-BD8A1EA88AFA}"/>
    <cellStyle name="RISKnormBoxed 4 2 13" xfId="7661" xr:uid="{E47B5281-810D-4280-A3B9-BD77747319F1}"/>
    <cellStyle name="RISKnormBoxed 4 2 13 2" xfId="10794" xr:uid="{83A1F552-B347-4B16-BF85-D3B6590DA41A}"/>
    <cellStyle name="RISKnormBoxed 4 2 14" xfId="4545" xr:uid="{38902FFA-1866-4339-AD0E-7BE39A58B016}"/>
    <cellStyle name="RISKnormBoxed 4 2 15" xfId="4286" xr:uid="{ACD1435B-D423-4161-9ECA-0BF903FCFEAC}"/>
    <cellStyle name="RISKnormBoxed 4 2 16" xfId="11047" xr:uid="{3F2E8AD4-9532-4B91-9510-1D7A2FDB6879}"/>
    <cellStyle name="RISKnormBoxed 4 2 17" xfId="11463" xr:uid="{37CF9667-7755-40CA-9EF5-11833AFC7C73}"/>
    <cellStyle name="RISKnormBoxed 4 2 18" xfId="11612" xr:uid="{1B4EAD1F-1A82-4766-A503-7CA2833637E1}"/>
    <cellStyle name="RISKnormBoxed 4 2 19" xfId="11921" xr:uid="{BA33FE76-3FF1-4727-9948-B43B2459BBE3}"/>
    <cellStyle name="RISKnormBoxed 4 2 2" xfId="1564" xr:uid="{00000000-0005-0000-0000-00000F060000}"/>
    <cellStyle name="RISKnormBoxed 4 2 2 2" xfId="3665" xr:uid="{C4D1BF67-DFFC-43A6-89D4-690C59C1B210}"/>
    <cellStyle name="RISKnormBoxed 4 2 2 3" xfId="4973" xr:uid="{B09FA970-5F55-4D2C-B2D6-2F8D549B3F18}"/>
    <cellStyle name="RISKnormBoxed 4 2 2 4" xfId="8180" xr:uid="{D18F9704-09F6-4CE9-9CDF-BAD93ED75A39}"/>
    <cellStyle name="RISKnormBoxed 4 2 20" xfId="12158" xr:uid="{7D7E049C-FEA4-42C3-AC64-76E2F80F0644}"/>
    <cellStyle name="RISKnormBoxed 4 2 21" xfId="12615" xr:uid="{4608C8C7-CF95-4A76-B639-25A5C0F5E4BD}"/>
    <cellStyle name="RISKnormBoxed 4 2 22" xfId="12765" xr:uid="{C8D92F88-773F-4978-9005-FBD19BC4ADA1}"/>
    <cellStyle name="RISKnormBoxed 4 2 23" xfId="12906" xr:uid="{70761C8F-BBEF-42CF-972D-164229555AF1}"/>
    <cellStyle name="RISKnormBoxed 4 2 24" xfId="13268" xr:uid="{B4C92D4C-F64A-45D2-8FB2-A9991660EE2F}"/>
    <cellStyle name="RISKnormBoxed 4 2 25" xfId="13397" xr:uid="{F6DF4A77-976F-4810-91D2-8C2933A8CAC5}"/>
    <cellStyle name="RISKnormBoxed 4 2 3" xfId="1821" xr:uid="{00000000-0005-0000-0000-000010060000}"/>
    <cellStyle name="RISKnormBoxed 4 2 3 2" xfId="3921" xr:uid="{0C7B3372-3A45-4C9F-A9D4-5ACF2E093495}"/>
    <cellStyle name="RISKnormBoxed 4 2 3 3" xfId="5225" xr:uid="{543D00D0-EF17-4031-92DE-B34862379E09}"/>
    <cellStyle name="RISKnormBoxed 4 2 3 4" xfId="8419" xr:uid="{2490D5FD-B4C7-4CBB-ADF8-FB1D38964E43}"/>
    <cellStyle name="RISKnormBoxed 4 2 4" xfId="2075" xr:uid="{00000000-0005-0000-0000-000011060000}"/>
    <cellStyle name="RISKnormBoxed 4 2 4 2" xfId="4165" xr:uid="{10F73DA6-621D-4A5B-8AEE-C78C00D00C2A}"/>
    <cellStyle name="RISKnormBoxed 4 2 4 3" xfId="5463" xr:uid="{839D069F-3687-49D9-971D-96B5F4E7CC1F}"/>
    <cellStyle name="RISKnormBoxed 4 2 4 4" xfId="8655" xr:uid="{6FBC4383-40B8-4D2D-841E-98F74DA1998D}"/>
    <cellStyle name="RISKnormBoxed 4 2 5" xfId="2317" xr:uid="{38C06EE8-E8E3-469F-82C9-DF8B7E0B182E}"/>
    <cellStyle name="RISKnormBoxed 4 2 5 2" xfId="5699" xr:uid="{75298138-B279-4677-8B9D-54298FB78793}"/>
    <cellStyle name="RISKnormBoxed 4 2 5 3" xfId="8891" xr:uid="{EE1A7B09-A756-4326-ABF2-4FB9FD564B36}"/>
    <cellStyle name="RISKnormBoxed 4 2 6" xfId="2553" xr:uid="{AFE9BCCD-E7F6-44E8-94F8-B303803F60E7}"/>
    <cellStyle name="RISKnormBoxed 4 2 6 2" xfId="5929" xr:uid="{AB89B958-543F-4F69-BB8F-30BFCCED83FF}"/>
    <cellStyle name="RISKnormBoxed 4 2 6 3" xfId="9121" xr:uid="{D511865D-3BD4-44BC-99A4-3FD10168709C}"/>
    <cellStyle name="RISKnormBoxed 4 2 7" xfId="2792" xr:uid="{72AB168F-E6B7-49E7-AFA1-E0691E58513F}"/>
    <cellStyle name="RISKnormBoxed 4 2 7 2" xfId="6162" xr:uid="{19208C5E-0CAF-415C-A478-8698DF6166F1}"/>
    <cellStyle name="RISKnormBoxed 4 2 7 3" xfId="9351" xr:uid="{A63C9D89-65B3-46C1-BC16-BE5D5C345D42}"/>
    <cellStyle name="RISKnormBoxed 4 2 8" xfId="3012" xr:uid="{5AF00279-65E1-456A-AA54-6605129F9E65}"/>
    <cellStyle name="RISKnormBoxed 4 2 8 2" xfId="6395" xr:uid="{B9E24F3E-6437-4EA4-B533-C35A780C37DF}"/>
    <cellStyle name="RISKnormBoxed 4 2 8 3" xfId="9581" xr:uid="{272A9C07-EC90-4135-90FB-0A6FFFB12DA5}"/>
    <cellStyle name="RISKnormBoxed 4 2 9" xfId="3239" xr:uid="{C9E626AF-81A8-4480-9F73-A5819BA0DDC0}"/>
    <cellStyle name="RISKnormBoxed 4 2 9 2" xfId="6658" xr:uid="{7053BCD1-CC62-4D5C-AA9B-36A0E894E1C6}"/>
    <cellStyle name="RISKnormBoxed 4 2 9 3" xfId="9823" xr:uid="{804FDFC8-254F-45A1-88B6-F04533758D35}"/>
    <cellStyle name="RISKnormBoxed 4 20" xfId="11920" xr:uid="{FE248362-3BAC-448F-9263-19C5DDD42E6B}"/>
    <cellStyle name="RISKnormBoxed 4 21" xfId="12157" xr:uid="{3A99AF52-881A-4790-A8E5-E499549C67AA}"/>
    <cellStyle name="RISKnormBoxed 4 22" xfId="12614" xr:uid="{163B03E9-2B09-4BFF-9547-7AF2E9B07F8A}"/>
    <cellStyle name="RISKnormBoxed 4 23" xfId="12764" xr:uid="{4C137641-9931-4505-8946-09BF8AD8085D}"/>
    <cellStyle name="RISKnormBoxed 4 24" xfId="12905" xr:uid="{86D7B8C0-F8AF-4BD5-9D54-4B907A90B917}"/>
    <cellStyle name="RISKnormBoxed 4 25" xfId="13267" xr:uid="{A0048EF7-B3B8-42A1-AD3C-3706C7EC1067}"/>
    <cellStyle name="RISKnormBoxed 4 26" xfId="13396" xr:uid="{8BC9461C-C843-48DE-A094-92A539DE5EF0}"/>
    <cellStyle name="RISKnormBoxed 4 3" xfId="1563" xr:uid="{00000000-0005-0000-0000-000012060000}"/>
    <cellStyle name="RISKnormBoxed 4 3 2" xfId="3664" xr:uid="{89C875C2-AF1F-4E07-AAAB-3CB18D9487DD}"/>
    <cellStyle name="RISKnormBoxed 4 3 3" xfId="4972" xr:uid="{A9B73F13-5EA5-4AE9-A8A8-5D101AA74F3E}"/>
    <cellStyle name="RISKnormBoxed 4 3 4" xfId="8179" xr:uid="{DD85B020-532D-42B0-9722-53887D8C544B}"/>
    <cellStyle name="RISKnormBoxed 4 4" xfId="1820" xr:uid="{00000000-0005-0000-0000-000013060000}"/>
    <cellStyle name="RISKnormBoxed 4 4 2" xfId="3920" xr:uid="{E8CD2694-0720-42F4-91D8-1B923EF70F10}"/>
    <cellStyle name="RISKnormBoxed 4 4 3" xfId="5224" xr:uid="{A7EBAE98-B66A-40F2-8373-8E90BCCE24A2}"/>
    <cellStyle name="RISKnormBoxed 4 4 4" xfId="8418" xr:uid="{B6B4E23B-FA6D-4AF7-84E8-ECEEE691B1A1}"/>
    <cellStyle name="RISKnormBoxed 4 5" xfId="2074" xr:uid="{00000000-0005-0000-0000-000014060000}"/>
    <cellStyle name="RISKnormBoxed 4 5 2" xfId="4164" xr:uid="{8B5FB2E0-4266-48E6-BB52-B45C2650EF0F}"/>
    <cellStyle name="RISKnormBoxed 4 5 3" xfId="5462" xr:uid="{129E227D-61CB-4E28-A490-57302EB2E3EC}"/>
    <cellStyle name="RISKnormBoxed 4 5 4" xfId="8654" xr:uid="{FB788782-F3A2-4AF5-A819-F158F309A0B5}"/>
    <cellStyle name="RISKnormBoxed 4 6" xfId="2316" xr:uid="{B325084D-2AF6-46E0-852A-EF1D273158B5}"/>
    <cellStyle name="RISKnormBoxed 4 6 2" xfId="5698" xr:uid="{1944A13C-DAFF-47C2-856F-6BCF0703ED19}"/>
    <cellStyle name="RISKnormBoxed 4 6 3" xfId="8890" xr:uid="{EBB62BBB-683F-49DA-B4FE-614631972859}"/>
    <cellStyle name="RISKnormBoxed 4 7" xfId="2552" xr:uid="{C62092D8-8241-4F2B-8272-2F97397183C9}"/>
    <cellStyle name="RISKnormBoxed 4 7 2" xfId="5928" xr:uid="{7B7B1B57-318B-4B16-836F-CD99FBADA6FB}"/>
    <cellStyle name="RISKnormBoxed 4 7 3" xfId="9120" xr:uid="{EFEF1A89-2216-4B33-B185-223FB924EE8C}"/>
    <cellStyle name="RISKnormBoxed 4 8" xfId="2791" xr:uid="{AB1BDB7E-FFEB-4FF0-A2F0-D89DE9E34603}"/>
    <cellStyle name="RISKnormBoxed 4 8 2" xfId="6161" xr:uid="{4F8C679A-DFFE-49DC-8B5D-8122D31E712B}"/>
    <cellStyle name="RISKnormBoxed 4 8 3" xfId="9350" xr:uid="{3DC860A7-8A8E-4843-BE6D-00DBE51F3C97}"/>
    <cellStyle name="RISKnormBoxed 4 9" xfId="3011" xr:uid="{5118A074-7209-441C-BB20-F1258B84F2D0}"/>
    <cellStyle name="RISKnormBoxed 4 9 2" xfId="6394" xr:uid="{3BF53CC4-B1C6-40A0-BD97-79C076A2EAB0}"/>
    <cellStyle name="RISKnormBoxed 4 9 3" xfId="9580" xr:uid="{73F25489-4D1C-4163-B768-B6D3E8890F60}"/>
    <cellStyle name="RISKnormBoxed 5" xfId="1020" xr:uid="{00000000-0005-0000-0000-000015060000}"/>
    <cellStyle name="RISKnormBoxed 5 10" xfId="3240" xr:uid="{A488B506-33DB-46CD-8973-23C85F66FBFC}"/>
    <cellStyle name="RISKnormBoxed 5 10 2" xfId="6659" xr:uid="{47DDD6F7-ABBA-4F27-B9FB-84AE2A855F20}"/>
    <cellStyle name="RISKnormBoxed 5 10 3" xfId="9824" xr:uid="{754811A4-C466-4B5A-B064-A07F28498820}"/>
    <cellStyle name="RISKnormBoxed 5 11" xfId="6921" xr:uid="{63C22C84-F604-44F1-940D-B5ACE6EF52DE}"/>
    <cellStyle name="RISKnormBoxed 5 11 2" xfId="10066" xr:uid="{9C003A0D-C69C-46A7-A3C7-91B452011AA1}"/>
    <cellStyle name="RISKnormBoxed 5 12" xfId="7185" xr:uid="{4D27461A-1B32-40A1-B04B-D2A3CDBF5CD2}"/>
    <cellStyle name="RISKnormBoxed 5 12 2" xfId="10324" xr:uid="{853B3C07-162A-498C-8D55-8905B8413882}"/>
    <cellStyle name="RISKnormBoxed 5 13" xfId="7524" xr:uid="{8278727D-B8B6-4A41-BA8F-A0E11C09AD8F}"/>
    <cellStyle name="RISKnormBoxed 5 13 2" xfId="10658" xr:uid="{178EC796-3683-41BB-AFFE-69335FECB8B8}"/>
    <cellStyle name="RISKnormBoxed 5 14" xfId="7662" xr:uid="{E4304EE9-432E-482E-8EF7-233A5AA930AE}"/>
    <cellStyle name="RISKnormBoxed 5 14 2" xfId="10795" xr:uid="{9D7DF18D-690A-4053-BD71-F8E7AA8C963A}"/>
    <cellStyle name="RISKnormBoxed 5 15" xfId="4546" xr:uid="{51ECE167-CA17-4AA2-8BE5-74690C0B6DC6}"/>
    <cellStyle name="RISKnormBoxed 5 16" xfId="4285" xr:uid="{074DF86C-116E-49D5-BA02-62105D7D2443}"/>
    <cellStyle name="RISKnormBoxed 5 17" xfId="11048" xr:uid="{DE6D2AB8-EE85-4AD2-B101-20B2EF82B100}"/>
    <cellStyle name="RISKnormBoxed 5 18" xfId="11464" xr:uid="{47EC38DC-65D3-442E-B68D-24F5BCA745B4}"/>
    <cellStyle name="RISKnormBoxed 5 19" xfId="11613" xr:uid="{EE0630DF-D864-43C2-B260-0FBB540F88B5}"/>
    <cellStyle name="RISKnormBoxed 5 2" xfId="1021" xr:uid="{00000000-0005-0000-0000-000016060000}"/>
    <cellStyle name="RISKnormBoxed 5 2 10" xfId="6922" xr:uid="{2F1D6A36-D723-46E5-B9BB-A4E5ECEE2A00}"/>
    <cellStyle name="RISKnormBoxed 5 2 10 2" xfId="10067" xr:uid="{0CF76363-2469-41AE-ACD6-664A7308AA08}"/>
    <cellStyle name="RISKnormBoxed 5 2 11" xfId="7186" xr:uid="{5FD790CC-0B23-4C4F-B0EC-9386EF09E0C3}"/>
    <cellStyle name="RISKnormBoxed 5 2 11 2" xfId="10325" xr:uid="{820AE16D-565B-4A6F-B617-12FA76DF119D}"/>
    <cellStyle name="RISKnormBoxed 5 2 12" xfId="7525" xr:uid="{665210B1-573C-477A-B6A6-1DD7F2E03390}"/>
    <cellStyle name="RISKnormBoxed 5 2 12 2" xfId="10659" xr:uid="{2C167597-7913-4614-852F-A291518E47FB}"/>
    <cellStyle name="RISKnormBoxed 5 2 13" xfId="7663" xr:uid="{52C656C6-A545-4193-AEEE-A996DB4924A0}"/>
    <cellStyle name="RISKnormBoxed 5 2 13 2" xfId="10796" xr:uid="{99980F5C-0C2B-4AE9-ADB6-0D369F5762D9}"/>
    <cellStyle name="RISKnormBoxed 5 2 14" xfId="4547" xr:uid="{E6D856DC-0756-4E03-B626-FCDAC708D86C}"/>
    <cellStyle name="RISKnormBoxed 5 2 15" xfId="4284" xr:uid="{C68B47E4-EB8D-420A-AC57-B8D5850C38D5}"/>
    <cellStyle name="RISKnormBoxed 5 2 16" xfId="11049" xr:uid="{35F0B1F3-F40C-435C-A7EE-76E8C1723444}"/>
    <cellStyle name="RISKnormBoxed 5 2 17" xfId="11465" xr:uid="{33163B9B-5715-4FCB-AC97-AB8C12772C29}"/>
    <cellStyle name="RISKnormBoxed 5 2 18" xfId="11614" xr:uid="{C97870A6-EB52-4F03-A8D4-B775C36953F2}"/>
    <cellStyle name="RISKnormBoxed 5 2 19" xfId="11923" xr:uid="{46351FB8-25FB-4D67-BBF1-3C714BDAC040}"/>
    <cellStyle name="RISKnormBoxed 5 2 2" xfId="1566" xr:uid="{00000000-0005-0000-0000-000017060000}"/>
    <cellStyle name="RISKnormBoxed 5 2 2 2" xfId="3667" xr:uid="{2ED6D417-67AC-420D-8B17-BE66A961208C}"/>
    <cellStyle name="RISKnormBoxed 5 2 2 3" xfId="4975" xr:uid="{B881EF5E-6B25-4BB0-9C88-2C82B87AAF50}"/>
    <cellStyle name="RISKnormBoxed 5 2 2 4" xfId="8182" xr:uid="{3F9EB8C7-4F21-4AA9-853C-70EEB12017DC}"/>
    <cellStyle name="RISKnormBoxed 5 2 20" xfId="12160" xr:uid="{A091FBDC-40E5-4C83-AC29-0AD2F9C53431}"/>
    <cellStyle name="RISKnormBoxed 5 2 21" xfId="12617" xr:uid="{4D7E1CDC-143E-440E-B1AB-7ACA59F4FAAD}"/>
    <cellStyle name="RISKnormBoxed 5 2 22" xfId="12767" xr:uid="{80233542-3463-4556-A9B7-7E46248B4372}"/>
    <cellStyle name="RISKnormBoxed 5 2 23" xfId="12908" xr:uid="{2CE70431-4F57-4C17-BB2C-3BE11ABA71E8}"/>
    <cellStyle name="RISKnormBoxed 5 2 24" xfId="13270" xr:uid="{4B3BB420-ECD7-4B67-9203-4B3FC6E93F3C}"/>
    <cellStyle name="RISKnormBoxed 5 2 25" xfId="13399" xr:uid="{BB0761D8-880E-4711-A4A8-5CB222F0A2F8}"/>
    <cellStyle name="RISKnormBoxed 5 2 3" xfId="1823" xr:uid="{00000000-0005-0000-0000-000018060000}"/>
    <cellStyle name="RISKnormBoxed 5 2 3 2" xfId="3923" xr:uid="{42823038-43A1-40A1-8C61-3E67C94C144F}"/>
    <cellStyle name="RISKnormBoxed 5 2 3 3" xfId="5227" xr:uid="{89F631C3-424C-4296-B539-6A613D71E8A2}"/>
    <cellStyle name="RISKnormBoxed 5 2 3 4" xfId="8421" xr:uid="{385FCBBD-0E74-41DD-8B6B-654F6257CC7D}"/>
    <cellStyle name="RISKnormBoxed 5 2 4" xfId="2077" xr:uid="{00000000-0005-0000-0000-000019060000}"/>
    <cellStyle name="RISKnormBoxed 5 2 4 2" xfId="4167" xr:uid="{96FD2BCC-ACFD-4DD1-8C6E-366F9231F56E}"/>
    <cellStyle name="RISKnormBoxed 5 2 4 3" xfId="5465" xr:uid="{1FDBC0EA-46D5-4E85-BFEA-2B823930BA60}"/>
    <cellStyle name="RISKnormBoxed 5 2 4 4" xfId="8657" xr:uid="{3082F2B1-1C6F-4018-B2AA-D80ABC7A4107}"/>
    <cellStyle name="RISKnormBoxed 5 2 5" xfId="2319" xr:uid="{E96747F3-B0C7-4C16-9BDA-4D2C416D98CE}"/>
    <cellStyle name="RISKnormBoxed 5 2 5 2" xfId="5701" xr:uid="{A5EFA0F8-D64C-459D-B4EC-214C63D54B32}"/>
    <cellStyle name="RISKnormBoxed 5 2 5 3" xfId="8893" xr:uid="{BB144EDE-E219-4E3E-AB88-8129EC1633BD}"/>
    <cellStyle name="RISKnormBoxed 5 2 6" xfId="2555" xr:uid="{BCCD7231-1DB4-430A-8B9A-13B84BD7DD12}"/>
    <cellStyle name="RISKnormBoxed 5 2 6 2" xfId="5931" xr:uid="{3A523782-E0E6-497A-991E-F3E4FF2C98F4}"/>
    <cellStyle name="RISKnormBoxed 5 2 6 3" xfId="9123" xr:uid="{DEC43F61-A80A-418C-BBF9-3135492104E1}"/>
    <cellStyle name="RISKnormBoxed 5 2 7" xfId="2794" xr:uid="{A65E618F-B1F7-4D1C-88C6-2367CCEEB029}"/>
    <cellStyle name="RISKnormBoxed 5 2 7 2" xfId="6164" xr:uid="{1973ABBA-9058-4BA5-BFE8-E9786CBD0D76}"/>
    <cellStyle name="RISKnormBoxed 5 2 7 3" xfId="9353" xr:uid="{AFB0C8D1-20AE-411B-B3DF-520909E4AD3B}"/>
    <cellStyle name="RISKnormBoxed 5 2 8" xfId="3014" xr:uid="{2FB2B221-018B-4BF7-9C6B-8D555A005B12}"/>
    <cellStyle name="RISKnormBoxed 5 2 8 2" xfId="6397" xr:uid="{71DFD793-3342-41FC-ACFE-F32EE8CD64E0}"/>
    <cellStyle name="RISKnormBoxed 5 2 8 3" xfId="9583" xr:uid="{DEAA0280-A32B-40E1-9814-FCEE1867CCAC}"/>
    <cellStyle name="RISKnormBoxed 5 2 9" xfId="3241" xr:uid="{DBE74201-4993-40C3-928A-1D048A962CDE}"/>
    <cellStyle name="RISKnormBoxed 5 2 9 2" xfId="6660" xr:uid="{99E48152-1B05-4CB1-8FE3-F8AB5882E27B}"/>
    <cellStyle name="RISKnormBoxed 5 2 9 3" xfId="9825" xr:uid="{F0DEC6B9-4DB7-4A05-B2AD-A6D73AF71A38}"/>
    <cellStyle name="RISKnormBoxed 5 20" xfId="11922" xr:uid="{B8A7331E-5B57-4117-BB50-FA33DD414434}"/>
    <cellStyle name="RISKnormBoxed 5 21" xfId="12159" xr:uid="{523885FF-E3B4-4B0B-9C9E-565A2692D2B9}"/>
    <cellStyle name="RISKnormBoxed 5 22" xfId="12616" xr:uid="{4BFCB4F0-77D9-4F68-9174-7ADE7160D30F}"/>
    <cellStyle name="RISKnormBoxed 5 23" xfId="12766" xr:uid="{38D175BA-000C-4D0E-9134-D961D95F0046}"/>
    <cellStyle name="RISKnormBoxed 5 24" xfId="12907" xr:uid="{7C4E0F29-55F3-4D44-8FAD-C2ADFC233F47}"/>
    <cellStyle name="RISKnormBoxed 5 25" xfId="13269" xr:uid="{628C734A-42AD-4F33-84F1-902F59BB1CE7}"/>
    <cellStyle name="RISKnormBoxed 5 26" xfId="13398" xr:uid="{FAE9D996-402D-4FE7-8A46-2DE0E80EFA1D}"/>
    <cellStyle name="RISKnormBoxed 5 3" xfId="1565" xr:uid="{00000000-0005-0000-0000-00001A060000}"/>
    <cellStyle name="RISKnormBoxed 5 3 2" xfId="3666" xr:uid="{755CA30C-376A-4557-BC80-B8D841082096}"/>
    <cellStyle name="RISKnormBoxed 5 3 3" xfId="4974" xr:uid="{0872AF2C-B71E-42C7-858A-DB8EE45EFC7E}"/>
    <cellStyle name="RISKnormBoxed 5 3 4" xfId="8181" xr:uid="{A9AF57C7-F1BE-44A8-8B42-A185F7400D77}"/>
    <cellStyle name="RISKnormBoxed 5 4" xfId="1822" xr:uid="{00000000-0005-0000-0000-00001B060000}"/>
    <cellStyle name="RISKnormBoxed 5 4 2" xfId="3922" xr:uid="{107D539F-E38C-46C9-907D-A74CFBFAC1A8}"/>
    <cellStyle name="RISKnormBoxed 5 4 3" xfId="5226" xr:uid="{06E07DFD-0ED2-433E-910D-CF56473EA6E5}"/>
    <cellStyle name="RISKnormBoxed 5 4 4" xfId="8420" xr:uid="{8FCFDD2A-28FA-4A49-B7A4-90E54B575758}"/>
    <cellStyle name="RISKnormBoxed 5 5" xfId="2076" xr:uid="{00000000-0005-0000-0000-00001C060000}"/>
    <cellStyle name="RISKnormBoxed 5 5 2" xfId="4166" xr:uid="{C947CEC0-A256-435B-AFED-E2C082A56BD3}"/>
    <cellStyle name="RISKnormBoxed 5 5 3" xfId="5464" xr:uid="{AA0198DC-3A18-4760-B733-67F31057E43A}"/>
    <cellStyle name="RISKnormBoxed 5 5 4" xfId="8656" xr:uid="{5C4CE070-D5DE-4F7F-BA0C-DD167A3529D3}"/>
    <cellStyle name="RISKnormBoxed 5 6" xfId="2318" xr:uid="{F430D713-0924-4D7E-BFA8-51604085FF29}"/>
    <cellStyle name="RISKnormBoxed 5 6 2" xfId="5700" xr:uid="{49895C3D-1BBE-4F91-9FF2-92FD8B3B5311}"/>
    <cellStyle name="RISKnormBoxed 5 6 3" xfId="8892" xr:uid="{C7AA6569-D777-4CB1-B328-6223F53B1447}"/>
    <cellStyle name="RISKnormBoxed 5 7" xfId="2554" xr:uid="{29654E14-FBFE-4763-9EB4-94CEC2ED6069}"/>
    <cellStyle name="RISKnormBoxed 5 7 2" xfId="5930" xr:uid="{C7A2E15E-F10E-4097-A061-DFBDE8E6EE36}"/>
    <cellStyle name="RISKnormBoxed 5 7 3" xfId="9122" xr:uid="{6094D8E2-CF0D-4239-9F41-C1B76F873E7D}"/>
    <cellStyle name="RISKnormBoxed 5 8" xfId="2793" xr:uid="{9C7AF316-2B8D-4052-9E5C-13F29E2B73EF}"/>
    <cellStyle name="RISKnormBoxed 5 8 2" xfId="6163" xr:uid="{D78F82C4-2042-4403-9D88-E64054EBD5FD}"/>
    <cellStyle name="RISKnormBoxed 5 8 3" xfId="9352" xr:uid="{11C49A7D-91FD-4969-8988-8B1C1402B61F}"/>
    <cellStyle name="RISKnormBoxed 5 9" xfId="3013" xr:uid="{D1BD4A0A-5796-487E-94BB-C340C38EA97D}"/>
    <cellStyle name="RISKnormBoxed 5 9 2" xfId="6396" xr:uid="{9CAA575B-AABE-403D-95AE-64C90CE94657}"/>
    <cellStyle name="RISKnormBoxed 5 9 3" xfId="9582" xr:uid="{EA760F43-4F57-4F07-BAE3-1E443922BC0C}"/>
    <cellStyle name="RISKnormBoxed 6" xfId="1022" xr:uid="{00000000-0005-0000-0000-00001D060000}"/>
    <cellStyle name="RISKnormBoxed 6 10" xfId="3242" xr:uid="{480DFB0F-B502-401E-8406-9826EF926E31}"/>
    <cellStyle name="RISKnormBoxed 6 10 2" xfId="6661" xr:uid="{0A9F15F8-41CC-4E60-9B79-22841F29ECC6}"/>
    <cellStyle name="RISKnormBoxed 6 10 3" xfId="9826" xr:uid="{61ACF310-A54F-4533-8DA5-9D2596C0C3E3}"/>
    <cellStyle name="RISKnormBoxed 6 11" xfId="6923" xr:uid="{1BA09BF4-9E01-4EAC-B863-09C0196AF3A8}"/>
    <cellStyle name="RISKnormBoxed 6 11 2" xfId="10068" xr:uid="{99880DC3-EC43-4068-A755-FF5B7A9E1080}"/>
    <cellStyle name="RISKnormBoxed 6 12" xfId="7187" xr:uid="{F5A783DC-4D48-4E37-B841-E3C33031C8B2}"/>
    <cellStyle name="RISKnormBoxed 6 12 2" xfId="10326" xr:uid="{4619441B-9F56-4D7B-A7A5-886123F81577}"/>
    <cellStyle name="RISKnormBoxed 6 13" xfId="7526" xr:uid="{94C0A856-72B9-497D-9DEF-AEBCAD9A9772}"/>
    <cellStyle name="RISKnormBoxed 6 13 2" xfId="10660" xr:uid="{542C3B3A-AE0F-4733-9C30-77E07EED53FA}"/>
    <cellStyle name="RISKnormBoxed 6 14" xfId="7664" xr:uid="{24D2D602-4714-4EAB-935E-8F618408109A}"/>
    <cellStyle name="RISKnormBoxed 6 14 2" xfId="10797" xr:uid="{2B8D9779-35AB-4E7B-9858-4C3E27E6D995}"/>
    <cellStyle name="RISKnormBoxed 6 15" xfId="4548" xr:uid="{32EDFDD3-D693-41B2-81D3-9CB87A5EF3D7}"/>
    <cellStyle name="RISKnormBoxed 6 16" xfId="4283" xr:uid="{2FBD9013-E20D-40BF-9B82-CAFD8EDAA2A4}"/>
    <cellStyle name="RISKnormBoxed 6 17" xfId="11050" xr:uid="{7D726276-F651-4958-8F2B-8E4DA463C8C1}"/>
    <cellStyle name="RISKnormBoxed 6 18" xfId="11466" xr:uid="{0646D6D9-EA4A-4B89-B19A-5C0261AB1E17}"/>
    <cellStyle name="RISKnormBoxed 6 19" xfId="11615" xr:uid="{EDCEC393-2925-4332-A381-798337EF6380}"/>
    <cellStyle name="RISKnormBoxed 6 2" xfId="1023" xr:uid="{00000000-0005-0000-0000-00001E060000}"/>
    <cellStyle name="RISKnormBoxed 6 2 10" xfId="6924" xr:uid="{F591C500-6423-4DBA-9433-166B269A7364}"/>
    <cellStyle name="RISKnormBoxed 6 2 10 2" xfId="10069" xr:uid="{6EF2BDD4-A2C1-468C-89CE-9BCE22BD853C}"/>
    <cellStyle name="RISKnormBoxed 6 2 11" xfId="7188" xr:uid="{0A799A7C-9993-4649-9C1A-C37D5D6A610E}"/>
    <cellStyle name="RISKnormBoxed 6 2 11 2" xfId="10327" xr:uid="{704C6F69-1964-45C4-A975-07215EF44356}"/>
    <cellStyle name="RISKnormBoxed 6 2 12" xfId="7527" xr:uid="{776675CD-AC87-4E9D-A755-AF9660D0D97A}"/>
    <cellStyle name="RISKnormBoxed 6 2 12 2" xfId="10661" xr:uid="{CFB9551B-7CD6-4202-81CB-BF5E88EF9360}"/>
    <cellStyle name="RISKnormBoxed 6 2 13" xfId="7665" xr:uid="{EC46EE20-865B-46F5-8ECB-C8065F3B31F8}"/>
    <cellStyle name="RISKnormBoxed 6 2 13 2" xfId="10798" xr:uid="{C2684439-0FF9-4CB9-8A0E-52186B6B64BA}"/>
    <cellStyle name="RISKnormBoxed 6 2 14" xfId="4549" xr:uid="{2F49DF5C-7547-460D-8511-ADEAE7C95845}"/>
    <cellStyle name="RISKnormBoxed 6 2 15" xfId="4282" xr:uid="{BC9D2741-D99C-4CAC-92E6-38400812DFAD}"/>
    <cellStyle name="RISKnormBoxed 6 2 16" xfId="11051" xr:uid="{A9C41515-F384-4442-9E7F-0D84296DA2C4}"/>
    <cellStyle name="RISKnormBoxed 6 2 17" xfId="11467" xr:uid="{DF94CB7A-9F94-438C-BCF3-4904E0E98201}"/>
    <cellStyle name="RISKnormBoxed 6 2 18" xfId="11616" xr:uid="{F23D7E5A-399B-4D6B-9D8A-683D8D2E521B}"/>
    <cellStyle name="RISKnormBoxed 6 2 19" xfId="11925" xr:uid="{B3BABA40-F691-4686-9982-085C9600A5EA}"/>
    <cellStyle name="RISKnormBoxed 6 2 2" xfId="1568" xr:uid="{00000000-0005-0000-0000-00001F060000}"/>
    <cellStyle name="RISKnormBoxed 6 2 2 2" xfId="3669" xr:uid="{F75696A8-A1DA-4315-A631-185C2D4923D6}"/>
    <cellStyle name="RISKnormBoxed 6 2 2 3" xfId="4977" xr:uid="{C473169D-BFA2-4535-A082-839128ED16E7}"/>
    <cellStyle name="RISKnormBoxed 6 2 2 4" xfId="8184" xr:uid="{70181B4F-B94D-4C6E-9056-05D751B4AF34}"/>
    <cellStyle name="RISKnormBoxed 6 2 20" xfId="12162" xr:uid="{0654C4E2-F52C-44BB-9CCB-DB0F3A3305DB}"/>
    <cellStyle name="RISKnormBoxed 6 2 21" xfId="12619" xr:uid="{540CE630-F5CB-40E1-B62A-3403E4E39344}"/>
    <cellStyle name="RISKnormBoxed 6 2 22" xfId="12769" xr:uid="{1AFB9A6C-ECAD-4208-9F79-C771042B5901}"/>
    <cellStyle name="RISKnormBoxed 6 2 23" xfId="12910" xr:uid="{8147354E-793A-4668-9455-B64B7C87B768}"/>
    <cellStyle name="RISKnormBoxed 6 2 24" xfId="13272" xr:uid="{A00DE013-75E8-439E-8374-031C3D7BFC2F}"/>
    <cellStyle name="RISKnormBoxed 6 2 25" xfId="13401" xr:uid="{3B181912-F24F-4F54-852A-940A3A0383BA}"/>
    <cellStyle name="RISKnormBoxed 6 2 3" xfId="1825" xr:uid="{00000000-0005-0000-0000-000020060000}"/>
    <cellStyle name="RISKnormBoxed 6 2 3 2" xfId="3925" xr:uid="{EE18D6AC-7A47-47AC-A04B-F69894CEFAA0}"/>
    <cellStyle name="RISKnormBoxed 6 2 3 3" xfId="5229" xr:uid="{6BCEE7D3-0627-4EDF-834D-058D95108842}"/>
    <cellStyle name="RISKnormBoxed 6 2 3 4" xfId="8423" xr:uid="{35FE6B07-EA8F-4BEF-B662-6E24E526B816}"/>
    <cellStyle name="RISKnormBoxed 6 2 4" xfId="2079" xr:uid="{00000000-0005-0000-0000-000021060000}"/>
    <cellStyle name="RISKnormBoxed 6 2 4 2" xfId="4169" xr:uid="{F7100B40-875D-49C0-B836-92F4D864E87E}"/>
    <cellStyle name="RISKnormBoxed 6 2 4 3" xfId="5467" xr:uid="{6B8CA8F3-4D9A-4F7A-B734-59755AD78F6A}"/>
    <cellStyle name="RISKnormBoxed 6 2 4 4" xfId="8659" xr:uid="{DF528F9C-1A1D-475D-A527-9E54C1C961CD}"/>
    <cellStyle name="RISKnormBoxed 6 2 5" xfId="2321" xr:uid="{74402C49-252F-4E67-969B-90A743AFB966}"/>
    <cellStyle name="RISKnormBoxed 6 2 5 2" xfId="5703" xr:uid="{52393759-155F-4586-9C2D-7BAFC2FE9768}"/>
    <cellStyle name="RISKnormBoxed 6 2 5 3" xfId="8895" xr:uid="{F1D0090D-8D04-4000-B3BC-99BBBB9C2DDE}"/>
    <cellStyle name="RISKnormBoxed 6 2 6" xfId="2557" xr:uid="{8A3E79B0-FAB3-4399-8735-952819E9AC04}"/>
    <cellStyle name="RISKnormBoxed 6 2 6 2" xfId="5933" xr:uid="{5DC4D4F4-6969-436B-9965-C32A9F18C0A9}"/>
    <cellStyle name="RISKnormBoxed 6 2 6 3" xfId="9125" xr:uid="{98D09CE1-325B-47C5-84B6-0E3CCA4AD384}"/>
    <cellStyle name="RISKnormBoxed 6 2 7" xfId="2796" xr:uid="{1921FBB1-9FD4-4CD8-AFE8-FD1E8CA32E5D}"/>
    <cellStyle name="RISKnormBoxed 6 2 7 2" xfId="6166" xr:uid="{FFC1AB80-8F46-439A-A483-2490080A4964}"/>
    <cellStyle name="RISKnormBoxed 6 2 7 3" xfId="9355" xr:uid="{0FC1950B-8BEE-4020-AA53-ED8524980EC1}"/>
    <cellStyle name="RISKnormBoxed 6 2 8" xfId="3016" xr:uid="{212BF575-8CE7-49DB-8DCF-CAF33640B59F}"/>
    <cellStyle name="RISKnormBoxed 6 2 8 2" xfId="6399" xr:uid="{C5C72B84-F28E-45F2-ACC8-593BCBEBA240}"/>
    <cellStyle name="RISKnormBoxed 6 2 8 3" xfId="9585" xr:uid="{FA068E6B-4AE0-4ABB-984E-35948F5FD039}"/>
    <cellStyle name="RISKnormBoxed 6 2 9" xfId="3243" xr:uid="{F7250184-6F51-4AF0-BEEC-4897EE44CC5E}"/>
    <cellStyle name="RISKnormBoxed 6 2 9 2" xfId="6662" xr:uid="{E089F23B-33CC-4A07-9A40-907990AA94E3}"/>
    <cellStyle name="RISKnormBoxed 6 2 9 3" xfId="9827" xr:uid="{ABABA386-B97C-47B5-A7E6-BEA7334B5D7F}"/>
    <cellStyle name="RISKnormBoxed 6 20" xfId="11924" xr:uid="{DBC93AE8-BBB6-4764-8DD6-CA495840C5BE}"/>
    <cellStyle name="RISKnormBoxed 6 21" xfId="12161" xr:uid="{5F161D9E-040D-44D9-A07A-140DFB76FE86}"/>
    <cellStyle name="RISKnormBoxed 6 22" xfId="12618" xr:uid="{357B6D85-9A91-48E8-9DCB-E292B31A2309}"/>
    <cellStyle name="RISKnormBoxed 6 23" xfId="12768" xr:uid="{116D7B12-0A4B-43BE-8723-4C51B7378A61}"/>
    <cellStyle name="RISKnormBoxed 6 24" xfId="12909" xr:uid="{588B2C56-94E0-439C-BBF6-A6C023B03B90}"/>
    <cellStyle name="RISKnormBoxed 6 25" xfId="13271" xr:uid="{462DABC4-DCE9-4E04-8A6D-C9A1D2F406C2}"/>
    <cellStyle name="RISKnormBoxed 6 26" xfId="13400" xr:uid="{602933B2-B517-43F0-91DC-30AF64D86FDA}"/>
    <cellStyle name="RISKnormBoxed 6 3" xfId="1567" xr:uid="{00000000-0005-0000-0000-000022060000}"/>
    <cellStyle name="RISKnormBoxed 6 3 2" xfId="3668" xr:uid="{FA5F2F79-58AC-4C02-8F66-30001D0687A7}"/>
    <cellStyle name="RISKnormBoxed 6 3 3" xfId="4976" xr:uid="{1313EAE7-FA69-45CB-99DD-2871D969710E}"/>
    <cellStyle name="RISKnormBoxed 6 3 4" xfId="8183" xr:uid="{0736FD56-9BD9-412E-94A7-49BC1DD60941}"/>
    <cellStyle name="RISKnormBoxed 6 4" xfId="1824" xr:uid="{00000000-0005-0000-0000-000023060000}"/>
    <cellStyle name="RISKnormBoxed 6 4 2" xfId="3924" xr:uid="{E1EC86FA-54A3-4B72-BFA6-17580D0C9227}"/>
    <cellStyle name="RISKnormBoxed 6 4 3" xfId="5228" xr:uid="{8698955F-FAEC-4117-9F42-C57D04F1333D}"/>
    <cellStyle name="RISKnormBoxed 6 4 4" xfId="8422" xr:uid="{AE823CAB-A6C1-410D-B652-03F79358CAD3}"/>
    <cellStyle name="RISKnormBoxed 6 5" xfId="2078" xr:uid="{00000000-0005-0000-0000-000024060000}"/>
    <cellStyle name="RISKnormBoxed 6 5 2" xfId="4168" xr:uid="{35B8E5A3-13E4-42FC-9E90-71B61055A5C5}"/>
    <cellStyle name="RISKnormBoxed 6 5 3" xfId="5466" xr:uid="{7195B69D-39E7-4F28-AB07-56F95D9B63AC}"/>
    <cellStyle name="RISKnormBoxed 6 5 4" xfId="8658" xr:uid="{3956E6FD-7612-4708-9964-9B485C459D47}"/>
    <cellStyle name="RISKnormBoxed 6 6" xfId="2320" xr:uid="{2BD81490-AAE1-460B-B424-0D17D3E5E6EB}"/>
    <cellStyle name="RISKnormBoxed 6 6 2" xfId="5702" xr:uid="{4EF3A490-955E-4DCA-8032-1CDE1D2AD9AA}"/>
    <cellStyle name="RISKnormBoxed 6 6 3" xfId="8894" xr:uid="{B345E3DA-C9D6-4FEE-9DE6-317D9496076E}"/>
    <cellStyle name="RISKnormBoxed 6 7" xfId="2556" xr:uid="{C6974DC1-3A69-4236-820F-BBCB40CDCEB2}"/>
    <cellStyle name="RISKnormBoxed 6 7 2" xfId="5932" xr:uid="{657A7E60-FC72-411C-BAA7-ED5B1D318593}"/>
    <cellStyle name="RISKnormBoxed 6 7 3" xfId="9124" xr:uid="{72B3BEAC-6BD3-4D46-B85D-59D609BA71AB}"/>
    <cellStyle name="RISKnormBoxed 6 8" xfId="2795" xr:uid="{E5A353AC-6BAB-4FEC-9797-37499867840F}"/>
    <cellStyle name="RISKnormBoxed 6 8 2" xfId="6165" xr:uid="{9D0D05DD-6E7A-4B1B-82CF-DA8367CE98EA}"/>
    <cellStyle name="RISKnormBoxed 6 8 3" xfId="9354" xr:uid="{AD7FCE72-9DC8-4BAA-BED0-AA145CBE3246}"/>
    <cellStyle name="RISKnormBoxed 6 9" xfId="3015" xr:uid="{63361B51-D1B3-4922-8BAB-0049AECC3900}"/>
    <cellStyle name="RISKnormBoxed 6 9 2" xfId="6398" xr:uid="{4671441D-2FFF-4260-A29B-9070D86B44AE}"/>
    <cellStyle name="RISKnormBoxed 6 9 3" xfId="9584" xr:uid="{70551562-27A7-4A8B-A4FB-622AE865B679}"/>
    <cellStyle name="RISKnormBoxed 7" xfId="1024" xr:uid="{00000000-0005-0000-0000-000025060000}"/>
    <cellStyle name="RISKnormBoxed 7 10" xfId="3017" xr:uid="{F63217F5-4B80-4D3F-A3D0-6C505DA9891F}"/>
    <cellStyle name="RISKnormBoxed 7 10 2" xfId="6400" xr:uid="{21E919AD-4947-43B1-A59E-C5CC06399AD4}"/>
    <cellStyle name="RISKnormBoxed 7 10 3" xfId="9586" xr:uid="{1ABDFBA0-9DE5-474E-83AC-177340C2A8EE}"/>
    <cellStyle name="RISKnormBoxed 7 11" xfId="3244" xr:uid="{9CFF6CF9-754B-4B28-9473-316F36F5EB10}"/>
    <cellStyle name="RISKnormBoxed 7 11 2" xfId="6663" xr:uid="{3DFA551A-FA18-41DC-9135-05E64858FAA0}"/>
    <cellStyle name="RISKnormBoxed 7 11 3" xfId="9828" xr:uid="{161EBFDB-BD74-4C10-9247-62D16ECC8EB3}"/>
    <cellStyle name="RISKnormBoxed 7 12" xfId="6925" xr:uid="{26F42D0F-46EA-420C-A42B-C7857AA06B0D}"/>
    <cellStyle name="RISKnormBoxed 7 12 2" xfId="10070" xr:uid="{7BC9C8FD-63F6-42C9-8E0F-1DDDED8712F2}"/>
    <cellStyle name="RISKnormBoxed 7 13" xfId="7189" xr:uid="{CEF4EAF6-F784-4E22-BA16-75E23D34FBF8}"/>
    <cellStyle name="RISKnormBoxed 7 13 2" xfId="10328" xr:uid="{97029CBF-F9A4-43BD-82E4-793C0837CCC8}"/>
    <cellStyle name="RISKnormBoxed 7 14" xfId="7528" xr:uid="{781C605F-0E62-4E25-88C5-B82A2310FB55}"/>
    <cellStyle name="RISKnormBoxed 7 14 2" xfId="10662" xr:uid="{B7F42A47-8325-452E-924E-371E18667772}"/>
    <cellStyle name="RISKnormBoxed 7 15" xfId="7666" xr:uid="{B877D7CB-35AF-4D5B-84F0-212F95ADC801}"/>
    <cellStyle name="RISKnormBoxed 7 15 2" xfId="10799" xr:uid="{12051E60-B788-4BC6-A5E4-5478AFB82242}"/>
    <cellStyle name="RISKnormBoxed 7 16" xfId="4550" xr:uid="{41EDEE46-AF09-4070-BEE7-369B71E8E1F7}"/>
    <cellStyle name="RISKnormBoxed 7 17" xfId="4281" xr:uid="{75174723-3072-4725-ACF0-A7E9E7604916}"/>
    <cellStyle name="RISKnormBoxed 7 18" xfId="11052" xr:uid="{649DF9EE-F7DD-4271-BFB6-E4DB79D9ECF6}"/>
    <cellStyle name="RISKnormBoxed 7 19" xfId="11468" xr:uid="{EECD96BD-B702-41B1-B074-26E6F7C8E947}"/>
    <cellStyle name="RISKnormBoxed 7 2" xfId="1025" xr:uid="{00000000-0005-0000-0000-000026060000}"/>
    <cellStyle name="RISKnormBoxed 7 2 10" xfId="6926" xr:uid="{F09EE70C-65AA-487B-8ADE-A88E2B78067E}"/>
    <cellStyle name="RISKnormBoxed 7 2 10 2" xfId="10071" xr:uid="{E61572E8-D09E-4A16-88E1-665717A1BB7F}"/>
    <cellStyle name="RISKnormBoxed 7 2 11" xfId="7190" xr:uid="{61D56BB7-F1EF-454A-934E-6E9C8D6B55BD}"/>
    <cellStyle name="RISKnormBoxed 7 2 11 2" xfId="10329" xr:uid="{E4A69CDE-5CD3-4236-9D8C-A9CA922A8094}"/>
    <cellStyle name="RISKnormBoxed 7 2 12" xfId="7529" xr:uid="{DFB975C9-5C46-4972-890A-1F3539EBB724}"/>
    <cellStyle name="RISKnormBoxed 7 2 12 2" xfId="10663" xr:uid="{C7A12CDE-F116-4907-99BD-A8A38574AE87}"/>
    <cellStyle name="RISKnormBoxed 7 2 13" xfId="7667" xr:uid="{5C1EA9B9-D7A8-475C-9E42-FF60DDA27ACE}"/>
    <cellStyle name="RISKnormBoxed 7 2 13 2" xfId="10800" xr:uid="{319572FA-0A8E-4B34-9A6C-C787329A5324}"/>
    <cellStyle name="RISKnormBoxed 7 2 14" xfId="4551" xr:uid="{2471E62B-F128-4928-9DD1-4F38DA4709FF}"/>
    <cellStyle name="RISKnormBoxed 7 2 15" xfId="4280" xr:uid="{8E6DEB87-0A6E-4F6E-9D00-CFEB0F795524}"/>
    <cellStyle name="RISKnormBoxed 7 2 16" xfId="11053" xr:uid="{700A7D8A-3F57-4F42-AE22-F32182236DB8}"/>
    <cellStyle name="RISKnormBoxed 7 2 17" xfId="11469" xr:uid="{90F4A188-76A1-4481-BE15-4EF67A26123B}"/>
    <cellStyle name="RISKnormBoxed 7 2 18" xfId="11618" xr:uid="{DBB334B7-C9AA-4A7E-90DA-E2FD8B4823DD}"/>
    <cellStyle name="RISKnormBoxed 7 2 19" xfId="11927" xr:uid="{9B9DC9F5-7506-4242-A82C-36BBEEB02D1B}"/>
    <cellStyle name="RISKnormBoxed 7 2 2" xfId="1570" xr:uid="{00000000-0005-0000-0000-000027060000}"/>
    <cellStyle name="RISKnormBoxed 7 2 2 2" xfId="3671" xr:uid="{774C48FB-A890-4998-A6E1-0261627EF2A3}"/>
    <cellStyle name="RISKnormBoxed 7 2 2 3" xfId="4979" xr:uid="{EDBC30DE-D001-49BA-AF14-2E8A545DFACE}"/>
    <cellStyle name="RISKnormBoxed 7 2 2 4" xfId="8186" xr:uid="{0C191C3A-B3D7-49E4-8A01-03A616DD267C}"/>
    <cellStyle name="RISKnormBoxed 7 2 20" xfId="12164" xr:uid="{4FDFDCAC-5E39-4286-A456-E563AF8B7DF0}"/>
    <cellStyle name="RISKnormBoxed 7 2 21" xfId="12621" xr:uid="{748139A8-CD65-404A-AF72-181F4F660682}"/>
    <cellStyle name="RISKnormBoxed 7 2 22" xfId="12771" xr:uid="{85461090-79B9-4EDB-A146-44312827B318}"/>
    <cellStyle name="RISKnormBoxed 7 2 23" xfId="12912" xr:uid="{2FA605A2-ABB5-4F04-9318-B391B6EB03BF}"/>
    <cellStyle name="RISKnormBoxed 7 2 24" xfId="13274" xr:uid="{1C11BF76-7A20-464B-BB77-5A0997ED2394}"/>
    <cellStyle name="RISKnormBoxed 7 2 25" xfId="13403" xr:uid="{CD597012-7CC1-4CB6-A98E-841D2D2A84D8}"/>
    <cellStyle name="RISKnormBoxed 7 2 3" xfId="1827" xr:uid="{00000000-0005-0000-0000-000028060000}"/>
    <cellStyle name="RISKnormBoxed 7 2 3 2" xfId="3927" xr:uid="{921BF774-3295-495C-A9EE-E0076F90F304}"/>
    <cellStyle name="RISKnormBoxed 7 2 3 3" xfId="5231" xr:uid="{028E3BD3-F552-4535-AD85-3C0A9FAF309E}"/>
    <cellStyle name="RISKnormBoxed 7 2 3 4" xfId="8425" xr:uid="{320AAC3E-AF7D-4348-B946-F2A0478E1F51}"/>
    <cellStyle name="RISKnormBoxed 7 2 4" xfId="2081" xr:uid="{00000000-0005-0000-0000-000029060000}"/>
    <cellStyle name="RISKnormBoxed 7 2 4 2" xfId="4171" xr:uid="{54DD9908-ADD6-4D2F-B2DB-16E8A8B356FA}"/>
    <cellStyle name="RISKnormBoxed 7 2 4 3" xfId="5469" xr:uid="{A2216977-AA6D-46AF-9A53-FC3F3B5CFE53}"/>
    <cellStyle name="RISKnormBoxed 7 2 4 4" xfId="8661" xr:uid="{2EDA36AB-A28D-4EAF-AF78-88C3D948C7C5}"/>
    <cellStyle name="RISKnormBoxed 7 2 5" xfId="2323" xr:uid="{4F04697C-CDA3-4C0C-A95C-1FAF486F3086}"/>
    <cellStyle name="RISKnormBoxed 7 2 5 2" xfId="5705" xr:uid="{BFF2518E-D838-46D5-A84F-7C2786F37DF0}"/>
    <cellStyle name="RISKnormBoxed 7 2 5 3" xfId="8897" xr:uid="{712FC6DC-B31B-411E-90B3-9B145F65BBDF}"/>
    <cellStyle name="RISKnormBoxed 7 2 6" xfId="2559" xr:uid="{FC24BBE1-A148-4A1A-A1FA-A71A3A4A3DA8}"/>
    <cellStyle name="RISKnormBoxed 7 2 6 2" xfId="5935" xr:uid="{607C3CBF-FC4E-4BB1-B264-0A66D296BA78}"/>
    <cellStyle name="RISKnormBoxed 7 2 6 3" xfId="9127" xr:uid="{77FE8B8F-CF9B-474A-A050-48B579E85FB5}"/>
    <cellStyle name="RISKnormBoxed 7 2 7" xfId="2798" xr:uid="{A77B8826-CA76-40CA-B167-163E0FE7556D}"/>
    <cellStyle name="RISKnormBoxed 7 2 7 2" xfId="6168" xr:uid="{E2C90F94-DD4F-49FB-A288-9435069A6027}"/>
    <cellStyle name="RISKnormBoxed 7 2 7 3" xfId="9357" xr:uid="{7133E24D-D776-49ED-8A2C-9771DA041C61}"/>
    <cellStyle name="RISKnormBoxed 7 2 8" xfId="3018" xr:uid="{08A5AFA0-D970-40F1-B27A-6AE94FCF3FDB}"/>
    <cellStyle name="RISKnormBoxed 7 2 8 2" xfId="6401" xr:uid="{387CD94E-116E-497B-9119-2B595E02FEAB}"/>
    <cellStyle name="RISKnormBoxed 7 2 8 3" xfId="9587" xr:uid="{88D5F4A2-DD9D-42DF-A508-4CBE1F2AD031}"/>
    <cellStyle name="RISKnormBoxed 7 2 9" xfId="3245" xr:uid="{E57EBAAD-B06C-468D-8984-ADBA772A21F2}"/>
    <cellStyle name="RISKnormBoxed 7 2 9 2" xfId="6664" xr:uid="{F3D8B2F2-5EE9-40EB-A72D-B6A99EC9E1D2}"/>
    <cellStyle name="RISKnormBoxed 7 2 9 3" xfId="9829" xr:uid="{2A8BDBDF-C0F0-4620-9740-1326AE2B6E7F}"/>
    <cellStyle name="RISKnormBoxed 7 20" xfId="11617" xr:uid="{CA01100F-6E61-437C-B1C6-8B954373CA75}"/>
    <cellStyle name="RISKnormBoxed 7 21" xfId="11926" xr:uid="{DB9D4959-FE83-4725-96FC-92C263536810}"/>
    <cellStyle name="RISKnormBoxed 7 22" xfId="12163" xr:uid="{BDDC162A-7170-44C4-9F33-3863B7A2F8E6}"/>
    <cellStyle name="RISKnormBoxed 7 23" xfId="12620" xr:uid="{62C705C8-0B2D-41E7-972D-5AD83AFED586}"/>
    <cellStyle name="RISKnormBoxed 7 24" xfId="12770" xr:uid="{2C8F7C15-BBBA-45E3-9F24-B88992860F9E}"/>
    <cellStyle name="RISKnormBoxed 7 25" xfId="12911" xr:uid="{1DDC41DF-3335-495E-93F9-DB89D0B79BFB}"/>
    <cellStyle name="RISKnormBoxed 7 26" xfId="13273" xr:uid="{9251D38D-1605-4949-89CA-28896DBB33D0}"/>
    <cellStyle name="RISKnormBoxed 7 27" xfId="13402" xr:uid="{B4907B74-A83F-4C89-9741-53DD37F9243B}"/>
    <cellStyle name="RISKnormBoxed 7 3" xfId="1026" xr:uid="{00000000-0005-0000-0000-00002A060000}"/>
    <cellStyle name="RISKnormBoxed 7 3 10" xfId="6927" xr:uid="{11C1C6F8-7843-48A1-BA45-6E3BD22C8106}"/>
    <cellStyle name="RISKnormBoxed 7 3 10 2" xfId="10072" xr:uid="{83CC31B3-EE98-4AD8-942C-8D5EC1A9F42D}"/>
    <cellStyle name="RISKnormBoxed 7 3 11" xfId="7191" xr:uid="{FA044448-CE49-43A3-BA5C-2197CE3AD599}"/>
    <cellStyle name="RISKnormBoxed 7 3 11 2" xfId="10330" xr:uid="{DF044051-31B0-4813-BE70-10F7A7ABF739}"/>
    <cellStyle name="RISKnormBoxed 7 3 12" xfId="7530" xr:uid="{26ED5A96-9079-464D-BE97-1DF39148546F}"/>
    <cellStyle name="RISKnormBoxed 7 3 12 2" xfId="10664" xr:uid="{468C066F-369C-4452-B055-97F2DBFF73ED}"/>
    <cellStyle name="RISKnormBoxed 7 3 13" xfId="7668" xr:uid="{B4C88208-DD46-4678-B19D-CA110EA2AA5A}"/>
    <cellStyle name="RISKnormBoxed 7 3 13 2" xfId="10801" xr:uid="{C0CBAA4A-5832-4DDC-B1F7-35ED28FF9592}"/>
    <cellStyle name="RISKnormBoxed 7 3 14" xfId="4552" xr:uid="{42DF6866-1162-4A55-8312-2449AB3D563E}"/>
    <cellStyle name="RISKnormBoxed 7 3 15" xfId="4279" xr:uid="{F331EBC1-B71E-4112-92B8-28AC713264BF}"/>
    <cellStyle name="RISKnormBoxed 7 3 16" xfId="11054" xr:uid="{11BAA9B4-DCF7-4DDD-93C5-ADFF9AF3A0E2}"/>
    <cellStyle name="RISKnormBoxed 7 3 17" xfId="11470" xr:uid="{543F5AA7-91B5-4B4E-B59A-96986EF1E9F1}"/>
    <cellStyle name="RISKnormBoxed 7 3 18" xfId="11619" xr:uid="{9276F653-4212-4217-B09E-3749895D42D3}"/>
    <cellStyle name="RISKnormBoxed 7 3 19" xfId="11928" xr:uid="{2D689EE1-F866-4B81-A741-48E549A63875}"/>
    <cellStyle name="RISKnormBoxed 7 3 2" xfId="1571" xr:uid="{00000000-0005-0000-0000-00002B060000}"/>
    <cellStyle name="RISKnormBoxed 7 3 2 2" xfId="3672" xr:uid="{9B0D0ADC-347F-4EF6-A5B6-B1752D4123CA}"/>
    <cellStyle name="RISKnormBoxed 7 3 2 3" xfId="4980" xr:uid="{9829FBC4-6594-47E5-9E8B-C5D0CD44AB1D}"/>
    <cellStyle name="RISKnormBoxed 7 3 2 4" xfId="8187" xr:uid="{241E1CEE-9318-441B-968D-338E8A913758}"/>
    <cellStyle name="RISKnormBoxed 7 3 20" xfId="12165" xr:uid="{C2C06AD7-0599-4D1C-8B4F-C6EB07ECFE85}"/>
    <cellStyle name="RISKnormBoxed 7 3 21" xfId="12622" xr:uid="{11A847F6-B257-4846-B2F8-96ADB3B1E5A3}"/>
    <cellStyle name="RISKnormBoxed 7 3 22" xfId="12772" xr:uid="{58AA1211-B584-44A3-AA49-5049E7C3D27F}"/>
    <cellStyle name="RISKnormBoxed 7 3 23" xfId="12913" xr:uid="{09200B36-38AB-4A7C-B784-36A4405E7FE6}"/>
    <cellStyle name="RISKnormBoxed 7 3 24" xfId="13275" xr:uid="{AA12674D-46E7-4562-BD81-7A834A8A0656}"/>
    <cellStyle name="RISKnormBoxed 7 3 25" xfId="13404" xr:uid="{306220DA-732E-4004-994A-858FF0D13E6C}"/>
    <cellStyle name="RISKnormBoxed 7 3 3" xfId="1828" xr:uid="{00000000-0005-0000-0000-00002C060000}"/>
    <cellStyle name="RISKnormBoxed 7 3 3 2" xfId="3928" xr:uid="{CE3D2196-0273-42FB-AF07-E682371E8C90}"/>
    <cellStyle name="RISKnormBoxed 7 3 3 3" xfId="5232" xr:uid="{095D9D05-1FC9-494C-A142-137FA7EA1E42}"/>
    <cellStyle name="RISKnormBoxed 7 3 3 4" xfId="8426" xr:uid="{EE9FFC79-4731-438E-BCBD-BEC85B84BA58}"/>
    <cellStyle name="RISKnormBoxed 7 3 4" xfId="2082" xr:uid="{00000000-0005-0000-0000-00002D060000}"/>
    <cellStyle name="RISKnormBoxed 7 3 4 2" xfId="4172" xr:uid="{A6E01FB6-C39A-416B-9A4E-9914103641B4}"/>
    <cellStyle name="RISKnormBoxed 7 3 4 3" xfId="5470" xr:uid="{F606C00B-3E06-49C6-85F4-B26D0A41F894}"/>
    <cellStyle name="RISKnormBoxed 7 3 4 4" xfId="8662" xr:uid="{31F47083-3AC4-4BA8-A400-C7099C159147}"/>
    <cellStyle name="RISKnormBoxed 7 3 5" xfId="2324" xr:uid="{25D66D22-B22A-46CC-9D75-34DE68DF236E}"/>
    <cellStyle name="RISKnormBoxed 7 3 5 2" xfId="5706" xr:uid="{14173355-1039-49E8-ACA8-6BE86BFD6B17}"/>
    <cellStyle name="RISKnormBoxed 7 3 5 3" xfId="8898" xr:uid="{3F755EFC-CCEC-4C56-A3D6-4DED7AAAADC4}"/>
    <cellStyle name="RISKnormBoxed 7 3 6" xfId="2560" xr:uid="{235EF524-8332-4DFA-849B-A2A96657B66F}"/>
    <cellStyle name="RISKnormBoxed 7 3 6 2" xfId="5936" xr:uid="{1F5B777B-6EA3-4C4E-8388-329AEE22ED47}"/>
    <cellStyle name="RISKnormBoxed 7 3 6 3" xfId="9128" xr:uid="{F3E0B8BE-08AA-4646-89B1-0A1E7C17B3FE}"/>
    <cellStyle name="RISKnormBoxed 7 3 7" xfId="2799" xr:uid="{8D9155D9-0C2F-4B5A-A6C8-893279CB5CC7}"/>
    <cellStyle name="RISKnormBoxed 7 3 7 2" xfId="6169" xr:uid="{3DC3CA7C-C44E-45B4-ABA8-86E7A294EDB2}"/>
    <cellStyle name="RISKnormBoxed 7 3 7 3" xfId="9358" xr:uid="{5894BE2C-7289-46D8-ABE6-56AAB79ED18D}"/>
    <cellStyle name="RISKnormBoxed 7 3 8" xfId="3019" xr:uid="{E7498EFD-D5BD-4036-A33B-B4F1F9660690}"/>
    <cellStyle name="RISKnormBoxed 7 3 8 2" xfId="6402" xr:uid="{483CB91E-BDC9-44C4-8D65-FB4E3C95EBDE}"/>
    <cellStyle name="RISKnormBoxed 7 3 8 3" xfId="9588" xr:uid="{46654991-5BF6-4458-913E-DE2BDDB330EB}"/>
    <cellStyle name="RISKnormBoxed 7 3 9" xfId="3246" xr:uid="{47A81F90-4E70-492A-90E5-2A5C2734163B}"/>
    <cellStyle name="RISKnormBoxed 7 3 9 2" xfId="6665" xr:uid="{F49D8660-FFB0-4E4D-86E7-9B2E4CC0BD9E}"/>
    <cellStyle name="RISKnormBoxed 7 3 9 3" xfId="9830" xr:uid="{63A56EB7-8A4E-4022-9799-975AFE803E36}"/>
    <cellStyle name="RISKnormBoxed 7 4" xfId="1569" xr:uid="{00000000-0005-0000-0000-00002E060000}"/>
    <cellStyle name="RISKnormBoxed 7 4 2" xfId="3670" xr:uid="{0C083578-23A4-4DEC-B50F-F3A78DA7D12F}"/>
    <cellStyle name="RISKnormBoxed 7 4 3" xfId="4978" xr:uid="{6B71DB5D-3389-47E0-BF8A-28AD241DCC26}"/>
    <cellStyle name="RISKnormBoxed 7 4 4" xfId="8185" xr:uid="{38E2E402-F9EF-4812-825A-15A0976D3E9C}"/>
    <cellStyle name="RISKnormBoxed 7 5" xfId="1826" xr:uid="{00000000-0005-0000-0000-00002F060000}"/>
    <cellStyle name="RISKnormBoxed 7 5 2" xfId="3926" xr:uid="{E4055D97-5425-4200-9BE6-7F391256EFEA}"/>
    <cellStyle name="RISKnormBoxed 7 5 3" xfId="5230" xr:uid="{84023F99-C258-49A6-8E50-4687CF3338E2}"/>
    <cellStyle name="RISKnormBoxed 7 5 4" xfId="8424" xr:uid="{573FB2BD-8BB3-480C-9463-D655C20F25F5}"/>
    <cellStyle name="RISKnormBoxed 7 6" xfId="2080" xr:uid="{00000000-0005-0000-0000-000030060000}"/>
    <cellStyle name="RISKnormBoxed 7 6 2" xfId="4170" xr:uid="{8E7AABDD-F595-4CBC-836E-BA0B13476CB8}"/>
    <cellStyle name="RISKnormBoxed 7 6 3" xfId="5468" xr:uid="{A31C7353-2B96-4100-809D-86180E46E695}"/>
    <cellStyle name="RISKnormBoxed 7 6 4" xfId="8660" xr:uid="{1B868734-2BF5-4F57-9E5B-884030C13785}"/>
    <cellStyle name="RISKnormBoxed 7 7" xfId="2322" xr:uid="{135629B3-4239-4C9F-B18A-9DF47748BBE7}"/>
    <cellStyle name="RISKnormBoxed 7 7 2" xfId="5704" xr:uid="{1E4FD69E-8735-4551-8A2A-D63293B00CD6}"/>
    <cellStyle name="RISKnormBoxed 7 7 3" xfId="8896" xr:uid="{B04A8020-7395-44C0-999D-972D1D62D200}"/>
    <cellStyle name="RISKnormBoxed 7 8" xfId="2558" xr:uid="{58472071-9E8E-4FB8-AC35-5B0066EDFEA8}"/>
    <cellStyle name="RISKnormBoxed 7 8 2" xfId="5934" xr:uid="{90AF12EE-0F4A-49CE-8506-5161AD32CCE2}"/>
    <cellStyle name="RISKnormBoxed 7 8 3" xfId="9126" xr:uid="{BC33A4D1-55D6-4D5F-8062-7A22BC0DF1D6}"/>
    <cellStyle name="RISKnormBoxed 7 9" xfId="2797" xr:uid="{1A435DFD-4A59-4CAD-9985-FCB591CD3889}"/>
    <cellStyle name="RISKnormBoxed 7 9 2" xfId="6167" xr:uid="{0BE4EDD2-7093-4896-BF94-CA858611B17B}"/>
    <cellStyle name="RISKnormBoxed 7 9 3" xfId="9356" xr:uid="{C8F1EA39-D28C-4B69-B70F-958D7C1AFE14}"/>
    <cellStyle name="RISKnormBoxed 8" xfId="1027" xr:uid="{00000000-0005-0000-0000-000031060000}"/>
    <cellStyle name="RISKnormBoxed 8 10" xfId="6928" xr:uid="{10514B37-C8CB-4304-9450-867C2093E95F}"/>
    <cellStyle name="RISKnormBoxed 8 10 2" xfId="10073" xr:uid="{EDDDEB45-F189-4AAC-8FE2-FD34BE88D359}"/>
    <cellStyle name="RISKnormBoxed 8 11" xfId="7192" xr:uid="{771F7B10-E12E-4F86-93D0-4FD7D99B97D3}"/>
    <cellStyle name="RISKnormBoxed 8 11 2" xfId="10331" xr:uid="{2A63FDFA-A0A1-4F87-84DB-9A66B16482BC}"/>
    <cellStyle name="RISKnormBoxed 8 12" xfId="7531" xr:uid="{A245DF5A-A763-422C-A94C-19DF59984255}"/>
    <cellStyle name="RISKnormBoxed 8 12 2" xfId="10665" xr:uid="{2CC91871-91AE-4AF6-AFBB-5A3A0B67ECF1}"/>
    <cellStyle name="RISKnormBoxed 8 13" xfId="7669" xr:uid="{9600262C-74CB-4EB3-9B6D-6F0C843E2400}"/>
    <cellStyle name="RISKnormBoxed 8 13 2" xfId="10802" xr:uid="{18011AF9-B012-42FD-8336-0E1827087143}"/>
    <cellStyle name="RISKnormBoxed 8 14" xfId="4553" xr:uid="{07CF59AC-6239-4D69-8B74-F4AB831BCB6B}"/>
    <cellStyle name="RISKnormBoxed 8 15" xfId="4278" xr:uid="{09ECF9AD-4555-46E9-8235-DE0D1302D482}"/>
    <cellStyle name="RISKnormBoxed 8 16" xfId="11055" xr:uid="{06CDF627-70C6-4E0C-92EC-19A6505231EC}"/>
    <cellStyle name="RISKnormBoxed 8 17" xfId="11471" xr:uid="{D3926E00-326B-45D7-BE47-1FF0972C817B}"/>
    <cellStyle name="RISKnormBoxed 8 18" xfId="11620" xr:uid="{FF97B1A9-138D-4156-98E9-D44BABD2BED9}"/>
    <cellStyle name="RISKnormBoxed 8 19" xfId="11929" xr:uid="{E3338447-1E51-4FDC-859D-F583A48D345F}"/>
    <cellStyle name="RISKnormBoxed 8 2" xfId="1572" xr:uid="{00000000-0005-0000-0000-000032060000}"/>
    <cellStyle name="RISKnormBoxed 8 2 2" xfId="3673" xr:uid="{382E04D7-8C54-48C7-AB0B-572BB1018C72}"/>
    <cellStyle name="RISKnormBoxed 8 2 3" xfId="4981" xr:uid="{5E695EC7-E143-43D2-8910-5480B6DC5CC8}"/>
    <cellStyle name="RISKnormBoxed 8 2 4" xfId="8188" xr:uid="{1F54987B-767C-4CE0-836B-DBB987307788}"/>
    <cellStyle name="RISKnormBoxed 8 20" xfId="12166" xr:uid="{47C80230-6DF0-4DD6-B667-AB1020E79FFB}"/>
    <cellStyle name="RISKnormBoxed 8 21" xfId="12623" xr:uid="{15515380-238A-4D24-A025-779F732FF36A}"/>
    <cellStyle name="RISKnormBoxed 8 22" xfId="12773" xr:uid="{8F668050-79D9-4014-9467-4062FA673F34}"/>
    <cellStyle name="RISKnormBoxed 8 23" xfId="12914" xr:uid="{FCDDD65E-8566-4A4A-854B-9CCC6D885006}"/>
    <cellStyle name="RISKnormBoxed 8 24" xfId="13276" xr:uid="{A70D2088-6316-4D5D-B54F-C6A25D305AD1}"/>
    <cellStyle name="RISKnormBoxed 8 25" xfId="13405" xr:uid="{B7F1A9C9-35C1-419A-99DF-36A726ADA329}"/>
    <cellStyle name="RISKnormBoxed 8 3" xfId="1829" xr:uid="{00000000-0005-0000-0000-000033060000}"/>
    <cellStyle name="RISKnormBoxed 8 3 2" xfId="3929" xr:uid="{B7EA8D66-5A12-4444-B0A6-963A34418B71}"/>
    <cellStyle name="RISKnormBoxed 8 3 3" xfId="5233" xr:uid="{605B57FE-D1C8-415F-BAF9-2B54C9C9D8DE}"/>
    <cellStyle name="RISKnormBoxed 8 3 4" xfId="8427" xr:uid="{309F687F-870A-468C-8981-4EAFBAFE517C}"/>
    <cellStyle name="RISKnormBoxed 8 4" xfId="2083" xr:uid="{00000000-0005-0000-0000-000034060000}"/>
    <cellStyle name="RISKnormBoxed 8 4 2" xfId="4173" xr:uid="{5AC4C14F-5030-4E4B-B56E-B4D087E82ADD}"/>
    <cellStyle name="RISKnormBoxed 8 4 3" xfId="5471" xr:uid="{467DD37D-2FE7-4BAC-BE81-600AF2BE5218}"/>
    <cellStyle name="RISKnormBoxed 8 4 4" xfId="8663" xr:uid="{8D093CCD-B8F8-451F-A30E-408E31F770A9}"/>
    <cellStyle name="RISKnormBoxed 8 5" xfId="2325" xr:uid="{78A3A896-5065-467C-8838-DF53DD2620B2}"/>
    <cellStyle name="RISKnormBoxed 8 5 2" xfId="5707" xr:uid="{45D46623-E868-4482-9145-B9FDA6E98240}"/>
    <cellStyle name="RISKnormBoxed 8 5 3" xfId="8899" xr:uid="{4A2BFC27-03E2-4F1E-AFE2-5BCC79ED4CB8}"/>
    <cellStyle name="RISKnormBoxed 8 6" xfId="2561" xr:uid="{A38B6919-A788-4C26-8951-8EEC99391A24}"/>
    <cellStyle name="RISKnormBoxed 8 6 2" xfId="5937" xr:uid="{8D804B43-52A1-464E-BF9A-5881905D0FE8}"/>
    <cellStyle name="RISKnormBoxed 8 6 3" xfId="9129" xr:uid="{6EF12898-3BDA-41E5-8DF2-C6175780EDE5}"/>
    <cellStyle name="RISKnormBoxed 8 7" xfId="2800" xr:uid="{76ADD6BB-0F93-4F59-970B-2EFA9E3148CC}"/>
    <cellStyle name="RISKnormBoxed 8 7 2" xfId="6170" xr:uid="{63582A49-090F-4312-96A5-889CB7298336}"/>
    <cellStyle name="RISKnormBoxed 8 7 3" xfId="9359" xr:uid="{89AFE3F4-9267-42D9-BEAC-6C3276F100CC}"/>
    <cellStyle name="RISKnormBoxed 8 8" xfId="3020" xr:uid="{4A849DF3-C4B5-4A0B-8F1F-BA13CF3FBA40}"/>
    <cellStyle name="RISKnormBoxed 8 8 2" xfId="6403" xr:uid="{CD02485C-2639-44C2-A460-DD96F173B1EC}"/>
    <cellStyle name="RISKnormBoxed 8 8 3" xfId="9589" xr:uid="{B4217C28-CF61-4B3A-9B6B-D7287B748E6C}"/>
    <cellStyle name="RISKnormBoxed 8 9" xfId="3247" xr:uid="{5B222522-CCD0-41FA-BF12-035FB646475F}"/>
    <cellStyle name="RISKnormBoxed 8 9 2" xfId="6666" xr:uid="{900DF4A7-2A4B-460E-960C-673960EF3DF5}"/>
    <cellStyle name="RISKnormBoxed 8 9 3" xfId="9831" xr:uid="{6CF76443-0B8A-41C9-AD71-82214702063D}"/>
    <cellStyle name="RISKnormBoxed 9" xfId="1558" xr:uid="{00000000-0005-0000-0000-000035060000}"/>
    <cellStyle name="RISKnormBoxed 9 2" xfId="3659" xr:uid="{2F5BD880-EA3E-4A30-A8DC-286413371741}"/>
    <cellStyle name="RISKnormBoxed 9 3" xfId="4967" xr:uid="{7D6511B1-265B-4EF8-8A8A-8257890E3048}"/>
    <cellStyle name="RISKnormBoxed 9 4" xfId="8174" xr:uid="{99A18CB2-BD98-4C36-86C1-DB21E6EC5590}"/>
    <cellStyle name="RISKnormCenter" xfId="1028" xr:uid="{00000000-0005-0000-0000-000036060000}"/>
    <cellStyle name="RISKnormCenter 2" xfId="1029" xr:uid="{00000000-0005-0000-0000-000037060000}"/>
    <cellStyle name="RISKnormCenter 3" xfId="1030" xr:uid="{00000000-0005-0000-0000-000038060000}"/>
    <cellStyle name="RISKnormCenter 4" xfId="1031" xr:uid="{00000000-0005-0000-0000-000039060000}"/>
    <cellStyle name="RISKnormCenter 5" xfId="1032" xr:uid="{00000000-0005-0000-0000-00003A060000}"/>
    <cellStyle name="RISKnormCenter 6" xfId="1033" xr:uid="{00000000-0005-0000-0000-00003B060000}"/>
    <cellStyle name="RISKnormCenter 7" xfId="1034" xr:uid="{00000000-0005-0000-0000-00003C060000}"/>
    <cellStyle name="RISKnormCenter 7 2" xfId="1035" xr:uid="{00000000-0005-0000-0000-00003D060000}"/>
    <cellStyle name="RISKnormHeading" xfId="1036" xr:uid="{00000000-0005-0000-0000-00003E060000}"/>
    <cellStyle name="RISKnormItal" xfId="1037" xr:uid="{00000000-0005-0000-0000-00003F060000}"/>
    <cellStyle name="RISKnormLabel" xfId="1038" xr:uid="{00000000-0005-0000-0000-000040060000}"/>
    <cellStyle name="RISKnormShade" xfId="1039" xr:uid="{00000000-0005-0000-0000-000041060000}"/>
    <cellStyle name="RISKnormShade 2" xfId="1040" xr:uid="{00000000-0005-0000-0000-000042060000}"/>
    <cellStyle name="RISKnormShade 3" xfId="1041" xr:uid="{00000000-0005-0000-0000-000043060000}"/>
    <cellStyle name="RISKnormShade 4" xfId="1042" xr:uid="{00000000-0005-0000-0000-000044060000}"/>
    <cellStyle name="RISKnormShade 5" xfId="1043" xr:uid="{00000000-0005-0000-0000-000045060000}"/>
    <cellStyle name="RISKnormShade 6" xfId="1044" xr:uid="{00000000-0005-0000-0000-000046060000}"/>
    <cellStyle name="RISKnormShade 7" xfId="1045" xr:uid="{00000000-0005-0000-0000-000047060000}"/>
    <cellStyle name="RISKnormShade 7 2" xfId="1046" xr:uid="{00000000-0005-0000-0000-000048060000}"/>
    <cellStyle name="RISKnormTitle" xfId="1047" xr:uid="{00000000-0005-0000-0000-000049060000}"/>
    <cellStyle name="RISKoutNumber" xfId="1048" xr:uid="{00000000-0005-0000-0000-00004A060000}"/>
    <cellStyle name="RISKrightEdge" xfId="1049" xr:uid="{00000000-0005-0000-0000-00004B060000}"/>
    <cellStyle name="RISKrightEdge 2" xfId="1050" xr:uid="{00000000-0005-0000-0000-00004C060000}"/>
    <cellStyle name="RISKrightEdge 3" xfId="1051" xr:uid="{00000000-0005-0000-0000-00004D060000}"/>
    <cellStyle name="RISKrightEdge 4" xfId="1052" xr:uid="{00000000-0005-0000-0000-00004E060000}"/>
    <cellStyle name="RISKrightEdge 5" xfId="1053" xr:uid="{00000000-0005-0000-0000-00004F060000}"/>
    <cellStyle name="RISKrightEdge 6" xfId="1054" xr:uid="{00000000-0005-0000-0000-000050060000}"/>
    <cellStyle name="RISKrightEdge 7" xfId="1055" xr:uid="{00000000-0005-0000-0000-000051060000}"/>
    <cellStyle name="RISKrightEdge 7 2" xfId="1056" xr:uid="{00000000-0005-0000-0000-000052060000}"/>
    <cellStyle name="RISKrtandbEdge" xfId="1057" xr:uid="{00000000-0005-0000-0000-000053060000}"/>
    <cellStyle name="RISKrtandbEdge 10" xfId="1573" xr:uid="{00000000-0005-0000-0000-000054060000}"/>
    <cellStyle name="RISKrtandbEdge 10 2" xfId="3674" xr:uid="{A47E0FA8-8B42-409D-ABDE-F4BCC2235346}"/>
    <cellStyle name="RISKrtandbEdge 10 3" xfId="4982" xr:uid="{D7E1A4AC-DD55-4FFF-8FF2-AADD0B282873}"/>
    <cellStyle name="RISKrtandbEdge 10 4" xfId="8189" xr:uid="{0F835FAA-39AB-4C03-BFDA-49C4845E99E4}"/>
    <cellStyle name="RISKrtandbEdge 11" xfId="1830" xr:uid="{00000000-0005-0000-0000-000055060000}"/>
    <cellStyle name="RISKrtandbEdge 11 2" xfId="3930" xr:uid="{57E3FE0E-A167-4BBF-8034-1B8941D4DCD1}"/>
    <cellStyle name="RISKrtandbEdge 11 3" xfId="5234" xr:uid="{25178E0D-9460-4C9B-9273-AEE53AAF8A2F}"/>
    <cellStyle name="RISKrtandbEdge 11 4" xfId="8428" xr:uid="{C490E418-C24E-4283-9552-4912C29356F1}"/>
    <cellStyle name="RISKrtandbEdge 12" xfId="2084" xr:uid="{00000000-0005-0000-0000-000056060000}"/>
    <cellStyle name="RISKrtandbEdge 12 2" xfId="4174" xr:uid="{BDD0BFF9-CC94-485E-AFC3-FCBCDA3F875C}"/>
    <cellStyle name="RISKrtandbEdge 12 3" xfId="5472" xr:uid="{5C0C00BF-988B-4D6B-BD96-8E58A9217EAA}"/>
    <cellStyle name="RISKrtandbEdge 12 4" xfId="8664" xr:uid="{3FABDB8B-400F-4919-AC78-8D6D737CCD18}"/>
    <cellStyle name="RISKrtandbEdge 13" xfId="2326" xr:uid="{51DA55C4-97F0-4197-8DCC-27EBAE8C1549}"/>
    <cellStyle name="RISKrtandbEdge 13 2" xfId="5708" xr:uid="{8DDBD134-E2A2-4464-8A61-B5A47C25FCD1}"/>
    <cellStyle name="RISKrtandbEdge 13 3" xfId="8900" xr:uid="{E7D76A1B-FB7E-4AB4-8D85-AE67496D11A9}"/>
    <cellStyle name="RISKrtandbEdge 14" xfId="2562" xr:uid="{4AC9F11B-FCE3-4100-AFFE-DAAB911A85E4}"/>
    <cellStyle name="RISKrtandbEdge 14 2" xfId="5938" xr:uid="{C85C5A8B-0FB7-414B-A147-F2CC8300ECE3}"/>
    <cellStyle name="RISKrtandbEdge 14 3" xfId="9130" xr:uid="{94288882-1683-4033-A331-8BA949AD1315}"/>
    <cellStyle name="RISKrtandbEdge 15" xfId="2801" xr:uid="{A32B83E6-D03D-4169-A576-DE0BC8ABE478}"/>
    <cellStyle name="RISKrtandbEdge 15 2" xfId="6171" xr:uid="{EEA4E570-2C84-4452-B908-39ED365984A0}"/>
    <cellStyle name="RISKrtandbEdge 15 3" xfId="9360" xr:uid="{610F374E-2E90-4216-BF94-F2F77814C65E}"/>
    <cellStyle name="RISKrtandbEdge 16" xfId="3021" xr:uid="{224C2D1E-3EB1-4591-8389-48BF661E41BE}"/>
    <cellStyle name="RISKrtandbEdge 16 2" xfId="6404" xr:uid="{6D5DC67A-6A8A-4A79-9176-F9A0083186BA}"/>
    <cellStyle name="RISKrtandbEdge 16 3" xfId="9590" xr:uid="{B6517F89-938D-4CD2-87D2-E00A171919F9}"/>
    <cellStyle name="RISKrtandbEdge 17" xfId="3248" xr:uid="{8E0679FE-3866-4726-BA8B-A7795B380121}"/>
    <cellStyle name="RISKrtandbEdge 17 2" xfId="6667" xr:uid="{FB51A79F-A973-44A2-B6F9-C5A456A765EE}"/>
    <cellStyle name="RISKrtandbEdge 17 3" xfId="9832" xr:uid="{BBD39DD6-C049-45D3-8B57-0B716680C613}"/>
    <cellStyle name="RISKrtandbEdge 18" xfId="6929" xr:uid="{52BB1A01-C867-4E06-809B-3830CD885922}"/>
    <cellStyle name="RISKrtandbEdge 18 2" xfId="10074" xr:uid="{30A29DBB-59F2-4CBA-A300-D6E4762B2E1A}"/>
    <cellStyle name="RISKrtandbEdge 19" xfId="7193" xr:uid="{2F8EDF35-5FA3-4B3D-B4EF-EAAD24ADE26A}"/>
    <cellStyle name="RISKrtandbEdge 19 2" xfId="10332" xr:uid="{E99F9DE5-FF07-4A9B-8B92-89ECB228093F}"/>
    <cellStyle name="RISKrtandbEdge 2" xfId="1058" xr:uid="{00000000-0005-0000-0000-000057060000}"/>
    <cellStyle name="RISKrtandbEdge 2 10" xfId="3022" xr:uid="{50A94DF3-E1B9-4F5B-A50C-53E81A700C9E}"/>
    <cellStyle name="RISKrtandbEdge 2 10 2" xfId="6405" xr:uid="{9A2FAF48-A9F9-478A-A8E6-4D015404240B}"/>
    <cellStyle name="RISKrtandbEdge 2 10 3" xfId="9591" xr:uid="{F8DF3851-4DF3-40FA-999C-2552BF81FD7A}"/>
    <cellStyle name="RISKrtandbEdge 2 11" xfId="3249" xr:uid="{AF18672D-FAE1-4118-96CC-B8D272A63593}"/>
    <cellStyle name="RISKrtandbEdge 2 11 2" xfId="6668" xr:uid="{6F09202B-A4CD-4FD4-998A-D1D115207D7A}"/>
    <cellStyle name="RISKrtandbEdge 2 11 3" xfId="9833" xr:uid="{BDE5C908-BD31-4EE2-9D9E-67E40EF2EADC}"/>
    <cellStyle name="RISKrtandbEdge 2 12" xfId="6930" xr:uid="{66CB3112-D01F-49CA-83FA-A33ABE6432A2}"/>
    <cellStyle name="RISKrtandbEdge 2 12 2" xfId="10075" xr:uid="{230DCF98-82A7-49C9-A1C7-32975A89B0B4}"/>
    <cellStyle name="RISKrtandbEdge 2 13" xfId="7194" xr:uid="{EA35BB20-5373-4635-BB7A-5AEBDF3FEF3E}"/>
    <cellStyle name="RISKrtandbEdge 2 13 2" xfId="10333" xr:uid="{9FE50098-4601-43D5-B9F7-2956E419F0BC}"/>
    <cellStyle name="RISKrtandbEdge 2 14" xfId="7533" xr:uid="{A283FFA1-7C2E-43A6-8461-27F9CB46DB75}"/>
    <cellStyle name="RISKrtandbEdge 2 14 2" xfId="10667" xr:uid="{A14E8E62-DDB2-490D-B9A0-6A5803763BA0}"/>
    <cellStyle name="RISKrtandbEdge 2 15" xfId="7671" xr:uid="{A3FBBEC4-5A24-4EB3-A709-EFD9DBC7368E}"/>
    <cellStyle name="RISKrtandbEdge 2 15 2" xfId="10804" xr:uid="{2B928A5A-6B03-4F3A-AA4B-F51DD1F143AB}"/>
    <cellStyle name="RISKrtandbEdge 2 16" xfId="4555" xr:uid="{2F0A334A-80D9-41C9-ABE8-69BBF5929920}"/>
    <cellStyle name="RISKrtandbEdge 2 17" xfId="7775" xr:uid="{8D32AC59-890A-4BB6-B484-C40C7FB86550}"/>
    <cellStyle name="RISKrtandbEdge 2 18" xfId="11057" xr:uid="{550EA76C-CFFA-4FFF-A879-7D70DA58D07E}"/>
    <cellStyle name="RISKrtandbEdge 2 19" xfId="11473" xr:uid="{316D99A9-5E25-4F41-9FD4-C4741941FC3F}"/>
    <cellStyle name="RISKrtandbEdge 2 2" xfId="1059" xr:uid="{00000000-0005-0000-0000-000058060000}"/>
    <cellStyle name="RISKrtandbEdge 2 2 10" xfId="3250" xr:uid="{408458D7-A1E7-45BD-9A26-6F783B31648C}"/>
    <cellStyle name="RISKrtandbEdge 2 2 10 2" xfId="6669" xr:uid="{D63ECDE3-A532-47B7-928C-90F51F5D3B76}"/>
    <cellStyle name="RISKrtandbEdge 2 2 10 3" xfId="9834" xr:uid="{9A4523CE-03EA-45DF-9E55-7D3E3F36D716}"/>
    <cellStyle name="RISKrtandbEdge 2 2 11" xfId="6931" xr:uid="{2DE833C9-0E03-4F63-9499-9610F390B4D8}"/>
    <cellStyle name="RISKrtandbEdge 2 2 11 2" xfId="10076" xr:uid="{83A3D847-E78B-4152-BF8F-237E4ABD8D6F}"/>
    <cellStyle name="RISKrtandbEdge 2 2 12" xfId="7195" xr:uid="{A5BF2105-2218-40E6-B4B8-3D62D68D6053}"/>
    <cellStyle name="RISKrtandbEdge 2 2 12 2" xfId="10334" xr:uid="{76C97F4E-930D-48E4-B588-DD26BF5D3E4F}"/>
    <cellStyle name="RISKrtandbEdge 2 2 13" xfId="7534" xr:uid="{463C61A7-707C-45EA-A90E-E526B0D0C845}"/>
    <cellStyle name="RISKrtandbEdge 2 2 13 2" xfId="10668" xr:uid="{52C987F0-A577-43BC-A6CC-9D6E70BE09EC}"/>
    <cellStyle name="RISKrtandbEdge 2 2 14" xfId="7672" xr:uid="{92C72025-5524-4304-A08B-64988B28ED80}"/>
    <cellStyle name="RISKrtandbEdge 2 2 14 2" xfId="10805" xr:uid="{0F68C765-CE48-4D99-B2EF-4BFC2CB13A4E}"/>
    <cellStyle name="RISKrtandbEdge 2 2 15" xfId="4556" xr:uid="{DE7346F5-3651-4FE3-AAF3-B427218470F6}"/>
    <cellStyle name="RISKrtandbEdge 2 2 16" xfId="7776" xr:uid="{460FB078-D9BE-49E1-A5FF-15B56FCFE0A7}"/>
    <cellStyle name="RISKrtandbEdge 2 2 17" xfId="11058" xr:uid="{57E7F8C8-0E21-4C7E-96E2-75AE2F90FBA8}"/>
    <cellStyle name="RISKrtandbEdge 2 2 18" xfId="11474" xr:uid="{8C5A1C19-D921-4B16-814A-A15C1B94305B}"/>
    <cellStyle name="RISKrtandbEdge 2 2 19" xfId="11623" xr:uid="{F22E2D50-7FE5-4470-9062-CA371E878B67}"/>
    <cellStyle name="RISKrtandbEdge 2 2 2" xfId="1341" xr:uid="{00000000-0005-0000-0000-000059060000}"/>
    <cellStyle name="RISKrtandbEdge 2 2 2 2" xfId="3452" xr:uid="{8B6AE317-DEE3-4111-B485-F698AA5D96D7}"/>
    <cellStyle name="RISKrtandbEdge 2 2 2 3" xfId="4758" xr:uid="{73115668-54E0-4248-BB65-29253B9D4E1E}"/>
    <cellStyle name="RISKrtandbEdge 2 2 2 4" xfId="7968" xr:uid="{4143F274-5580-422F-B2FF-AE0DFD97DFCA}"/>
    <cellStyle name="RISKrtandbEdge 2 2 20" xfId="11742" xr:uid="{51BF8AA3-662C-46A8-8A47-50ED07B00902}"/>
    <cellStyle name="RISKrtandbEdge 2 2 21" xfId="11932" xr:uid="{C47D30AB-19DF-441D-8BC4-9A42B6E63314}"/>
    <cellStyle name="RISKrtandbEdge 2 2 22" xfId="12169" xr:uid="{6A52771A-6500-49F4-9E8C-F2742A2E179E}"/>
    <cellStyle name="RISKrtandbEdge 2 2 23" xfId="12626" xr:uid="{A450AB34-D83C-4C6D-B74E-0BDB31E3F0C1}"/>
    <cellStyle name="RISKrtandbEdge 2 2 24" xfId="12776" xr:uid="{C37C11A4-68C7-4EAE-8E90-F1249AAD99B6}"/>
    <cellStyle name="RISKrtandbEdge 2 2 25" xfId="12917" xr:uid="{6B094854-DF5E-4440-91DF-970403E683CF}"/>
    <cellStyle name="RISKrtandbEdge 2 2 26" xfId="13279" xr:uid="{67E675E8-976B-4D4F-BD2E-5E10341963C9}"/>
    <cellStyle name="RISKrtandbEdge 2 2 27" xfId="13408" xr:uid="{D8D35F5F-2250-4A4C-879F-DC22D9B18CA8}"/>
    <cellStyle name="RISKrtandbEdge 2 2 3" xfId="1575" xr:uid="{00000000-0005-0000-0000-00005A060000}"/>
    <cellStyle name="RISKrtandbEdge 2 2 3 2" xfId="3676" xr:uid="{E436E1FE-37F7-4A27-8671-21AB843CB316}"/>
    <cellStyle name="RISKrtandbEdge 2 2 3 3" xfId="4984" xr:uid="{978892D1-6246-4339-8BE7-8A7CC191342A}"/>
    <cellStyle name="RISKrtandbEdge 2 2 3 4" xfId="8191" xr:uid="{5E08D387-7A62-467E-8BCC-3BAC7D957F4F}"/>
    <cellStyle name="RISKrtandbEdge 2 2 4" xfId="1832" xr:uid="{00000000-0005-0000-0000-00005B060000}"/>
    <cellStyle name="RISKrtandbEdge 2 2 4 2" xfId="3932" xr:uid="{8EBB50DB-7FAF-45FA-B5F6-F16D8EE2E994}"/>
    <cellStyle name="RISKrtandbEdge 2 2 4 3" xfId="5236" xr:uid="{A90C7D80-30E9-442A-9DB5-E108E5D09213}"/>
    <cellStyle name="RISKrtandbEdge 2 2 4 4" xfId="8430" xr:uid="{FA9681BF-20B8-4667-B3E6-293C01AE68B2}"/>
    <cellStyle name="RISKrtandbEdge 2 2 5" xfId="2086" xr:uid="{00000000-0005-0000-0000-00005C060000}"/>
    <cellStyle name="RISKrtandbEdge 2 2 5 2" xfId="4176" xr:uid="{39ECE5C3-8153-42CE-BC85-DD44A16E771E}"/>
    <cellStyle name="RISKrtandbEdge 2 2 5 3" xfId="5474" xr:uid="{F742E210-373C-451C-B95D-F853162842AD}"/>
    <cellStyle name="RISKrtandbEdge 2 2 5 4" xfId="8666" xr:uid="{121FD2F3-CDC5-42D7-841B-4B5542D7B259}"/>
    <cellStyle name="RISKrtandbEdge 2 2 6" xfId="2328" xr:uid="{3C68E618-ED6A-40F7-ACF0-D3996855D10C}"/>
    <cellStyle name="RISKrtandbEdge 2 2 6 2" xfId="5710" xr:uid="{D81E7649-5FFD-40DA-B625-14661BBF61FA}"/>
    <cellStyle name="RISKrtandbEdge 2 2 6 3" xfId="8902" xr:uid="{97B3FB83-6932-4FCA-B03A-D668B287BFCB}"/>
    <cellStyle name="RISKrtandbEdge 2 2 7" xfId="2564" xr:uid="{71C35765-B5E2-4E9D-A01F-BB7EDECD9BE6}"/>
    <cellStyle name="RISKrtandbEdge 2 2 7 2" xfId="5940" xr:uid="{E319DC4B-7D73-4CBE-8DFB-F9E0E57FCAE0}"/>
    <cellStyle name="RISKrtandbEdge 2 2 7 3" xfId="9132" xr:uid="{CBE818F3-222D-45A0-9A7F-F91D58D5CC01}"/>
    <cellStyle name="RISKrtandbEdge 2 2 8" xfId="2803" xr:uid="{1972E877-569B-4AEB-950A-A3D9FE9DD92E}"/>
    <cellStyle name="RISKrtandbEdge 2 2 8 2" xfId="6173" xr:uid="{FBDF32AD-71C1-4082-925E-DA226D46E670}"/>
    <cellStyle name="RISKrtandbEdge 2 2 8 3" xfId="9362" xr:uid="{2D0FD2F3-CA01-43D0-B01A-3BF23C115BE4}"/>
    <cellStyle name="RISKrtandbEdge 2 2 9" xfId="3023" xr:uid="{59C8871C-2E02-4A79-AA69-B5825F6A0833}"/>
    <cellStyle name="RISKrtandbEdge 2 2 9 2" xfId="6406" xr:uid="{8C144C0E-A97A-470D-ABB6-E888FB7FCCA2}"/>
    <cellStyle name="RISKrtandbEdge 2 2 9 3" xfId="9592" xr:uid="{988859E9-AF0F-4B1D-AEC2-0917F737D136}"/>
    <cellStyle name="RISKrtandbEdge 2 20" xfId="11622" xr:uid="{8A22D8BF-7FB9-424B-A121-5131EDA89A1A}"/>
    <cellStyle name="RISKrtandbEdge 2 21" xfId="11741" xr:uid="{5788BEDE-4925-47C8-A7EC-7ACB8C1A9366}"/>
    <cellStyle name="RISKrtandbEdge 2 22" xfId="11931" xr:uid="{712585DA-2066-4D09-8472-B2C943B45758}"/>
    <cellStyle name="RISKrtandbEdge 2 23" xfId="12168" xr:uid="{E9BEED25-4020-424C-B928-5DD06D343A63}"/>
    <cellStyle name="RISKrtandbEdge 2 24" xfId="12625" xr:uid="{00E0CF3F-542F-4050-A359-492466D9B397}"/>
    <cellStyle name="RISKrtandbEdge 2 25" xfId="12775" xr:uid="{2C2230A8-99CA-4F2E-AD90-5BDB8BED93E9}"/>
    <cellStyle name="RISKrtandbEdge 2 26" xfId="12916" xr:uid="{3EFDCB24-349A-4523-A3B3-696B2312B598}"/>
    <cellStyle name="RISKrtandbEdge 2 27" xfId="13278" xr:uid="{381987EF-513D-49B8-BF48-064547F1F817}"/>
    <cellStyle name="RISKrtandbEdge 2 28" xfId="13407" xr:uid="{756C55C0-2AF6-418E-88EF-3D615B693A50}"/>
    <cellStyle name="RISKrtandbEdge 2 3" xfId="1340" xr:uid="{00000000-0005-0000-0000-00005D060000}"/>
    <cellStyle name="RISKrtandbEdge 2 3 2" xfId="3451" xr:uid="{4CFB20D9-BF92-447A-B702-936E75B495B8}"/>
    <cellStyle name="RISKrtandbEdge 2 3 3" xfId="4757" xr:uid="{2CAC39A5-2EE8-4CA2-B3EA-0CF143535572}"/>
    <cellStyle name="RISKrtandbEdge 2 3 4" xfId="7967" xr:uid="{2B4C4300-C7C2-4B53-8E14-901CB5927090}"/>
    <cellStyle name="RISKrtandbEdge 2 4" xfId="1574" xr:uid="{00000000-0005-0000-0000-00005E060000}"/>
    <cellStyle name="RISKrtandbEdge 2 4 2" xfId="3675" xr:uid="{657547B9-DA3A-4024-93A6-8AE97108C3CD}"/>
    <cellStyle name="RISKrtandbEdge 2 4 3" xfId="4983" xr:uid="{D9361206-3004-48B5-8F99-4317D0C16079}"/>
    <cellStyle name="RISKrtandbEdge 2 4 4" xfId="8190" xr:uid="{68FEC909-9594-4154-9FCF-424ED762C9BA}"/>
    <cellStyle name="RISKrtandbEdge 2 5" xfId="1831" xr:uid="{00000000-0005-0000-0000-00005F060000}"/>
    <cellStyle name="RISKrtandbEdge 2 5 2" xfId="3931" xr:uid="{469ECD06-998E-47B2-9A83-37BC00C5DCFD}"/>
    <cellStyle name="RISKrtandbEdge 2 5 3" xfId="5235" xr:uid="{279F72BF-1002-4304-A1BC-DA9254FB2BBB}"/>
    <cellStyle name="RISKrtandbEdge 2 5 4" xfId="8429" xr:uid="{C406F8F4-D239-4D1B-8F33-E173E5356BF4}"/>
    <cellStyle name="RISKrtandbEdge 2 6" xfId="2085" xr:uid="{00000000-0005-0000-0000-000060060000}"/>
    <cellStyle name="RISKrtandbEdge 2 6 2" xfId="4175" xr:uid="{87B83359-4E14-4D6C-960F-61AC1187E24B}"/>
    <cellStyle name="RISKrtandbEdge 2 6 3" xfId="5473" xr:uid="{02D35B6D-881A-444F-B665-8A46C5DA8710}"/>
    <cellStyle name="RISKrtandbEdge 2 6 4" xfId="8665" xr:uid="{49046B42-3E30-444B-983D-5644D4338BD0}"/>
    <cellStyle name="RISKrtandbEdge 2 7" xfId="2327" xr:uid="{BE4BFDBA-483E-4CCD-A9BB-A4E17502C243}"/>
    <cellStyle name="RISKrtandbEdge 2 7 2" xfId="5709" xr:uid="{D2A96C6B-CB0D-451D-A97D-152E6EDD949F}"/>
    <cellStyle name="RISKrtandbEdge 2 7 3" xfId="8901" xr:uid="{39A96A07-282F-4DC1-BE3D-977E28B5A09C}"/>
    <cellStyle name="RISKrtandbEdge 2 8" xfId="2563" xr:uid="{5825C95C-CF80-4481-8EA9-4E504ACCCEF7}"/>
    <cellStyle name="RISKrtandbEdge 2 8 2" xfId="5939" xr:uid="{F7D27F98-6D0C-4AE5-A264-4859C41A2BA2}"/>
    <cellStyle name="RISKrtandbEdge 2 8 3" xfId="9131" xr:uid="{0CB4DAA7-D989-4BE6-9B55-63C166834980}"/>
    <cellStyle name="RISKrtandbEdge 2 9" xfId="2802" xr:uid="{D73CC4FC-CAEA-4064-B016-4F907677AD8A}"/>
    <cellStyle name="RISKrtandbEdge 2 9 2" xfId="6172" xr:uid="{02C4CC46-3CA0-4390-B8E0-C81C20902FC1}"/>
    <cellStyle name="RISKrtandbEdge 2 9 3" xfId="9361" xr:uid="{97E282D7-ABD9-4D44-92D7-4AFBAF754813}"/>
    <cellStyle name="RISKrtandbEdge 20" xfId="7532" xr:uid="{30432B0F-9295-4053-A73B-6C07E643EEA8}"/>
    <cellStyle name="RISKrtandbEdge 20 2" xfId="10666" xr:uid="{19B73332-B5A0-472A-9DF9-AEE46F417A7E}"/>
    <cellStyle name="RISKrtandbEdge 21" xfId="7670" xr:uid="{DB703656-96DD-4078-8D15-92FC0C41A0D3}"/>
    <cellStyle name="RISKrtandbEdge 21 2" xfId="10803" xr:uid="{51EE327C-AC46-4CFB-AD52-B77ADBAF0134}"/>
    <cellStyle name="RISKrtandbEdge 22" xfId="4554" xr:uid="{A8E6148F-DB91-4517-8690-2331AF12EB5F}"/>
    <cellStyle name="RISKrtandbEdge 23" xfId="7774" xr:uid="{9970943C-5F48-45E5-BBE8-618A7F4F12CF}"/>
    <cellStyle name="RISKrtandbEdge 24" xfId="11056" xr:uid="{4E2DD01F-F253-4C19-90B0-E0A131A42EC6}"/>
    <cellStyle name="RISKrtandbEdge 25" xfId="11472" xr:uid="{CBAE3DA8-E40C-438E-8961-524146403DC9}"/>
    <cellStyle name="RISKrtandbEdge 26" xfId="11621" xr:uid="{95EB255C-BBEA-4CDD-80F7-99E91646E70C}"/>
    <cellStyle name="RISKrtandbEdge 27" xfId="11740" xr:uid="{7AA40481-D145-4F60-9534-EB3CA53CD8D5}"/>
    <cellStyle name="RISKrtandbEdge 28" xfId="11930" xr:uid="{D7D03193-A161-4CEF-8B18-9C14F0149DB5}"/>
    <cellStyle name="RISKrtandbEdge 29" xfId="12167" xr:uid="{DE1636F2-9077-4FC3-9C49-0ABB6F958B91}"/>
    <cellStyle name="RISKrtandbEdge 3" xfId="1060" xr:uid="{00000000-0005-0000-0000-000061060000}"/>
    <cellStyle name="RISKrtandbEdge 3 10" xfId="3024" xr:uid="{52B424E3-5A07-4A9C-AD06-FBCEF2BB1A80}"/>
    <cellStyle name="RISKrtandbEdge 3 10 2" xfId="6407" xr:uid="{22D89DDD-A7FB-44CF-851F-94F4009F5A06}"/>
    <cellStyle name="RISKrtandbEdge 3 10 3" xfId="9593" xr:uid="{53DBCADC-2BA5-4D99-8C76-511ACF6BF92F}"/>
    <cellStyle name="RISKrtandbEdge 3 11" xfId="3251" xr:uid="{E88BD2D0-C17E-4739-A572-6510741E96FD}"/>
    <cellStyle name="RISKrtandbEdge 3 11 2" xfId="6670" xr:uid="{0DF93AAB-42A5-4B2E-931A-60256D70BEDA}"/>
    <cellStyle name="RISKrtandbEdge 3 11 3" xfId="9835" xr:uid="{082A26C8-B78D-4146-97F0-2D07EF2BC1CE}"/>
    <cellStyle name="RISKrtandbEdge 3 12" xfId="6932" xr:uid="{37094657-8E8F-4239-BD1E-76AA4CDA7E59}"/>
    <cellStyle name="RISKrtandbEdge 3 12 2" xfId="10077" xr:uid="{19C91714-30A5-4B42-BEC9-1A7D4645D73B}"/>
    <cellStyle name="RISKrtandbEdge 3 13" xfId="7196" xr:uid="{FB00CFDF-45F7-4A0E-A02E-C6EE2805E8C3}"/>
    <cellStyle name="RISKrtandbEdge 3 13 2" xfId="10335" xr:uid="{753EBEDD-0DF5-469F-ADD4-2FB381FD14BB}"/>
    <cellStyle name="RISKrtandbEdge 3 14" xfId="7535" xr:uid="{800C88A4-068E-4066-9DC1-842E5E31B58D}"/>
    <cellStyle name="RISKrtandbEdge 3 14 2" xfId="10669" xr:uid="{F8ACB553-F61A-404C-BBE0-765E2985628D}"/>
    <cellStyle name="RISKrtandbEdge 3 15" xfId="7673" xr:uid="{F4813F03-DDF6-4D81-9707-350AA9F740F5}"/>
    <cellStyle name="RISKrtandbEdge 3 15 2" xfId="10806" xr:uid="{EC8EAFDA-DB6F-4869-8765-0806D0BC66F0}"/>
    <cellStyle name="RISKrtandbEdge 3 16" xfId="4557" xr:uid="{5EF5491B-1AF5-46FB-8D70-22042FC881AA}"/>
    <cellStyle name="RISKrtandbEdge 3 17" xfId="7777" xr:uid="{544526FB-90EC-42C5-91DE-413F4E2328A4}"/>
    <cellStyle name="RISKrtandbEdge 3 18" xfId="11059" xr:uid="{6ABAC14D-0E6E-4C3B-B5AB-D07786308964}"/>
    <cellStyle name="RISKrtandbEdge 3 19" xfId="11475" xr:uid="{8C19EFE6-5F8E-4A61-A158-33114D0186A5}"/>
    <cellStyle name="RISKrtandbEdge 3 2" xfId="1061" xr:uid="{00000000-0005-0000-0000-000062060000}"/>
    <cellStyle name="RISKrtandbEdge 3 2 10" xfId="3252" xr:uid="{B448A128-39C2-46AD-AA74-4DEBDF0B4DD8}"/>
    <cellStyle name="RISKrtandbEdge 3 2 10 2" xfId="6671" xr:uid="{15EF5056-DCD0-4D62-8445-3CDCDE4C146A}"/>
    <cellStyle name="RISKrtandbEdge 3 2 10 3" xfId="9836" xr:uid="{6343F24C-810C-463A-94A1-D8911BE97221}"/>
    <cellStyle name="RISKrtandbEdge 3 2 11" xfId="6933" xr:uid="{D2239766-0C06-4451-ADAC-6DD5C164B65A}"/>
    <cellStyle name="RISKrtandbEdge 3 2 11 2" xfId="10078" xr:uid="{F529CF13-B282-4EF1-9DA1-FD5E0A47FD98}"/>
    <cellStyle name="RISKrtandbEdge 3 2 12" xfId="7197" xr:uid="{2F1359BC-64D8-4720-96F3-EA1DEABE02CB}"/>
    <cellStyle name="RISKrtandbEdge 3 2 12 2" xfId="10336" xr:uid="{2E85CE8D-CEB8-4FFA-B8C6-DAC22B5CFDF8}"/>
    <cellStyle name="RISKrtandbEdge 3 2 13" xfId="7536" xr:uid="{94D81BF4-B3AE-47E5-BA60-319FDD7A04FF}"/>
    <cellStyle name="RISKrtandbEdge 3 2 13 2" xfId="10670" xr:uid="{DC749E53-85C5-47D7-B5F8-4D85C1EDA7BA}"/>
    <cellStyle name="RISKrtandbEdge 3 2 14" xfId="7674" xr:uid="{DC0BF029-ADCF-4DB0-A371-A021EE105608}"/>
    <cellStyle name="RISKrtandbEdge 3 2 14 2" xfId="10807" xr:uid="{B5CEA51E-6D36-4684-BC1D-0E5A51378503}"/>
    <cellStyle name="RISKrtandbEdge 3 2 15" xfId="4558" xr:uid="{634373A7-CC9D-4B95-87F5-381AFFC6A8F4}"/>
    <cellStyle name="RISKrtandbEdge 3 2 16" xfId="7778" xr:uid="{A0A9669B-0161-4A2A-909F-C1AD80A0925F}"/>
    <cellStyle name="RISKrtandbEdge 3 2 17" xfId="11060" xr:uid="{2634F50D-A86B-4E22-BA1A-B6640CA65AB2}"/>
    <cellStyle name="RISKrtandbEdge 3 2 18" xfId="11476" xr:uid="{9F5B3BCC-0140-4750-B44D-6D1EFD6CE218}"/>
    <cellStyle name="RISKrtandbEdge 3 2 19" xfId="11625" xr:uid="{30B7BDA8-22B6-41C0-BA03-B6DEB600311D}"/>
    <cellStyle name="RISKrtandbEdge 3 2 2" xfId="1343" xr:uid="{00000000-0005-0000-0000-000063060000}"/>
    <cellStyle name="RISKrtandbEdge 3 2 2 2" xfId="3454" xr:uid="{69ED6610-E2F0-4FCD-A711-6EC34D82DD1E}"/>
    <cellStyle name="RISKrtandbEdge 3 2 2 3" xfId="4760" xr:uid="{DD36680E-C884-4286-9061-20F7686D1C96}"/>
    <cellStyle name="RISKrtandbEdge 3 2 2 4" xfId="7970" xr:uid="{03C62122-77D0-402C-974B-4BD8B94C5493}"/>
    <cellStyle name="RISKrtandbEdge 3 2 20" xfId="11744" xr:uid="{F803EEBE-F45D-4919-8BEF-A3C3B2CBDA7A}"/>
    <cellStyle name="RISKrtandbEdge 3 2 21" xfId="11934" xr:uid="{FFDD8EF2-C170-46E2-A627-3F2B0412E8D6}"/>
    <cellStyle name="RISKrtandbEdge 3 2 22" xfId="12171" xr:uid="{BA21553B-25A8-4986-9ABD-DA245F54372C}"/>
    <cellStyle name="RISKrtandbEdge 3 2 23" xfId="12628" xr:uid="{76F044A7-E0FF-4F64-AB3C-2215929C5D0C}"/>
    <cellStyle name="RISKrtandbEdge 3 2 24" xfId="12778" xr:uid="{915ADFEE-5ED0-4175-A75A-0A65E54FF921}"/>
    <cellStyle name="RISKrtandbEdge 3 2 25" xfId="12919" xr:uid="{AC13A36F-E116-43F8-B806-4DAD4A1CB674}"/>
    <cellStyle name="RISKrtandbEdge 3 2 26" xfId="13281" xr:uid="{C29AC5DC-F72C-47A5-885A-3EF113CE3C70}"/>
    <cellStyle name="RISKrtandbEdge 3 2 27" xfId="13410" xr:uid="{AA002715-6A73-4B84-B48E-207F49FCA0C7}"/>
    <cellStyle name="RISKrtandbEdge 3 2 3" xfId="1577" xr:uid="{00000000-0005-0000-0000-000064060000}"/>
    <cellStyle name="RISKrtandbEdge 3 2 3 2" xfId="3678" xr:uid="{5A4C15AE-0776-4D15-8DBA-1C885417777C}"/>
    <cellStyle name="RISKrtandbEdge 3 2 3 3" xfId="4986" xr:uid="{7A2F0107-10CA-46FD-B1D0-3693639307B3}"/>
    <cellStyle name="RISKrtandbEdge 3 2 3 4" xfId="8193" xr:uid="{60DCDD32-8232-4010-A62A-5ECE2168F63E}"/>
    <cellStyle name="RISKrtandbEdge 3 2 4" xfId="1834" xr:uid="{00000000-0005-0000-0000-000065060000}"/>
    <cellStyle name="RISKrtandbEdge 3 2 4 2" xfId="3934" xr:uid="{6079D4DF-7B10-4A5B-9B43-70CFE702F869}"/>
    <cellStyle name="RISKrtandbEdge 3 2 4 3" xfId="5238" xr:uid="{26156FAB-F428-47F5-B80E-F18539078777}"/>
    <cellStyle name="RISKrtandbEdge 3 2 4 4" xfId="8432" xr:uid="{B704F61B-D62C-4BC1-90AC-93E49800ACAF}"/>
    <cellStyle name="RISKrtandbEdge 3 2 5" xfId="2088" xr:uid="{00000000-0005-0000-0000-000066060000}"/>
    <cellStyle name="RISKrtandbEdge 3 2 5 2" xfId="4178" xr:uid="{A8DA36A5-71EF-4AAE-8810-964A52B16EF7}"/>
    <cellStyle name="RISKrtandbEdge 3 2 5 3" xfId="5476" xr:uid="{F4286F6D-42AA-49A6-B661-31052D5D9616}"/>
    <cellStyle name="RISKrtandbEdge 3 2 5 4" xfId="8668" xr:uid="{9BE2E87B-8710-4AF2-BDA2-9897100FE199}"/>
    <cellStyle name="RISKrtandbEdge 3 2 6" xfId="2330" xr:uid="{F6DB3222-C1F1-46A3-97E9-7E52AAF5992D}"/>
    <cellStyle name="RISKrtandbEdge 3 2 6 2" xfId="5712" xr:uid="{7EB58B59-34F5-41AE-8D1D-64A6DD04E3E9}"/>
    <cellStyle name="RISKrtandbEdge 3 2 6 3" xfId="8904" xr:uid="{D690E7BD-B126-4B67-BE0B-2FC441C43B8E}"/>
    <cellStyle name="RISKrtandbEdge 3 2 7" xfId="2566" xr:uid="{A91FDD3C-F546-4FA6-8079-BD4CF444A752}"/>
    <cellStyle name="RISKrtandbEdge 3 2 7 2" xfId="5942" xr:uid="{8B7D3FD2-469B-4D7B-A4BA-143935B29FEC}"/>
    <cellStyle name="RISKrtandbEdge 3 2 7 3" xfId="9134" xr:uid="{3AB0836B-5035-416A-881C-4B09BA5D1BD1}"/>
    <cellStyle name="RISKrtandbEdge 3 2 8" xfId="2805" xr:uid="{EFD5E956-2D79-4245-9BD3-D99D8B41C05E}"/>
    <cellStyle name="RISKrtandbEdge 3 2 8 2" xfId="6175" xr:uid="{4CAFE2E8-DA5B-4C80-8F0A-9983F26AD662}"/>
    <cellStyle name="RISKrtandbEdge 3 2 8 3" xfId="9364" xr:uid="{ECF7BCD9-9EDD-433C-B6CB-55E7E9593F20}"/>
    <cellStyle name="RISKrtandbEdge 3 2 9" xfId="3025" xr:uid="{7293A443-C886-4382-A7C7-B72216339795}"/>
    <cellStyle name="RISKrtandbEdge 3 2 9 2" xfId="6408" xr:uid="{CCCD558B-9971-4139-8989-9AB32A4B850D}"/>
    <cellStyle name="RISKrtandbEdge 3 2 9 3" xfId="9594" xr:uid="{746C9513-AC1D-4B1D-AED5-52E9F5D2A5CA}"/>
    <cellStyle name="RISKrtandbEdge 3 20" xfId="11624" xr:uid="{8596EDD3-C918-45F2-AA1D-9E0E4C206447}"/>
    <cellStyle name="RISKrtandbEdge 3 21" xfId="11743" xr:uid="{121CF369-611C-454C-B70B-6B52BEC517D6}"/>
    <cellStyle name="RISKrtandbEdge 3 22" xfId="11933" xr:uid="{D05F6479-9FF5-419E-BCE3-4B17C9B54947}"/>
    <cellStyle name="RISKrtandbEdge 3 23" xfId="12170" xr:uid="{0BC2EE64-1E00-491A-A871-FC5CBE2249CE}"/>
    <cellStyle name="RISKrtandbEdge 3 24" xfId="12627" xr:uid="{BD60796B-99E4-46CE-B793-1B05F0FC1CEB}"/>
    <cellStyle name="RISKrtandbEdge 3 25" xfId="12777" xr:uid="{8028C98B-E54F-47D0-A6E4-1A81A1547ECF}"/>
    <cellStyle name="RISKrtandbEdge 3 26" xfId="12918" xr:uid="{4E4BE6B8-3A0C-4865-AFB0-89F289F4C34B}"/>
    <cellStyle name="RISKrtandbEdge 3 27" xfId="13280" xr:uid="{94F1781B-7CC6-400F-A6B8-E5AC0DB9429C}"/>
    <cellStyle name="RISKrtandbEdge 3 28" xfId="13409" xr:uid="{089B96E7-15FA-4180-870F-695242A2635B}"/>
    <cellStyle name="RISKrtandbEdge 3 3" xfId="1342" xr:uid="{00000000-0005-0000-0000-000067060000}"/>
    <cellStyle name="RISKrtandbEdge 3 3 2" xfId="3453" xr:uid="{804A547D-CB48-483F-8C2E-4D7CABD0C54C}"/>
    <cellStyle name="RISKrtandbEdge 3 3 3" xfId="4759" xr:uid="{7CD75290-EC4E-4CAE-98A0-8789340AEA82}"/>
    <cellStyle name="RISKrtandbEdge 3 3 4" xfId="7969" xr:uid="{43C5EB6C-2911-4CA2-BECE-5F8D84608503}"/>
    <cellStyle name="RISKrtandbEdge 3 4" xfId="1576" xr:uid="{00000000-0005-0000-0000-000068060000}"/>
    <cellStyle name="RISKrtandbEdge 3 4 2" xfId="3677" xr:uid="{7EDFF5A3-1D72-4C81-8C3E-B416EC903B55}"/>
    <cellStyle name="RISKrtandbEdge 3 4 3" xfId="4985" xr:uid="{8154D293-A67A-4EC3-9CF4-075FE2D4B426}"/>
    <cellStyle name="RISKrtandbEdge 3 4 4" xfId="8192" xr:uid="{01B54F2E-B776-4DEE-B5C7-73EBBAD765F0}"/>
    <cellStyle name="RISKrtandbEdge 3 5" xfId="1833" xr:uid="{00000000-0005-0000-0000-000069060000}"/>
    <cellStyle name="RISKrtandbEdge 3 5 2" xfId="3933" xr:uid="{1E1A751F-2E6F-4B98-BBE4-45F964FE2474}"/>
    <cellStyle name="RISKrtandbEdge 3 5 3" xfId="5237" xr:uid="{CB1B22D5-247A-4138-A27B-296FBB3A415B}"/>
    <cellStyle name="RISKrtandbEdge 3 5 4" xfId="8431" xr:uid="{5F638230-37E7-4935-BA2D-DC0C7B93AE89}"/>
    <cellStyle name="RISKrtandbEdge 3 6" xfId="2087" xr:uid="{00000000-0005-0000-0000-00006A060000}"/>
    <cellStyle name="RISKrtandbEdge 3 6 2" xfId="4177" xr:uid="{B6355177-0584-420D-844A-B3C37147BC48}"/>
    <cellStyle name="RISKrtandbEdge 3 6 3" xfId="5475" xr:uid="{17BED5B9-9B69-4D35-A0DF-6ABFB70932E7}"/>
    <cellStyle name="RISKrtandbEdge 3 6 4" xfId="8667" xr:uid="{FEA1CF2D-6A4C-436F-B3AF-C97F24EDCFA3}"/>
    <cellStyle name="RISKrtandbEdge 3 7" xfId="2329" xr:uid="{EC89356A-83C5-4E4F-81D6-5417DA5A66DB}"/>
    <cellStyle name="RISKrtandbEdge 3 7 2" xfId="5711" xr:uid="{9132940C-D7CD-4B84-B367-174DA7D2F325}"/>
    <cellStyle name="RISKrtandbEdge 3 7 3" xfId="8903" xr:uid="{4AFCCD2C-AEEB-4C2D-9194-7A03C9696152}"/>
    <cellStyle name="RISKrtandbEdge 3 8" xfId="2565" xr:uid="{D046CA2D-747A-4CC7-84B8-631059B74D7E}"/>
    <cellStyle name="RISKrtandbEdge 3 8 2" xfId="5941" xr:uid="{8EE05E63-42CD-46CE-B719-1DDB1E122848}"/>
    <cellStyle name="RISKrtandbEdge 3 8 3" xfId="9133" xr:uid="{7D50E24F-0F8C-4D03-9BE5-1DA4ABAD078A}"/>
    <cellStyle name="RISKrtandbEdge 3 9" xfId="2804" xr:uid="{4D372584-E977-45DB-92D6-13E6F68B3C17}"/>
    <cellStyle name="RISKrtandbEdge 3 9 2" xfId="6174" xr:uid="{53376135-001C-4C0A-B2F0-57226B5180A6}"/>
    <cellStyle name="RISKrtandbEdge 3 9 3" xfId="9363" xr:uid="{25F64E7B-EA1C-4359-9665-4A58A68C08F3}"/>
    <cellStyle name="RISKrtandbEdge 30" xfId="12624" xr:uid="{FB5C8F62-2AA9-479A-B1E0-1882B3344A80}"/>
    <cellStyle name="RISKrtandbEdge 31" xfId="12774" xr:uid="{2EC57075-02CB-42BB-ACDD-DFE1890E7595}"/>
    <cellStyle name="RISKrtandbEdge 32" xfId="12915" xr:uid="{9480D828-5B2C-4ECC-B968-9D2C470BFD7E}"/>
    <cellStyle name="RISKrtandbEdge 33" xfId="13277" xr:uid="{611CBFAB-C887-4383-A5A9-4227EE56DCD8}"/>
    <cellStyle name="RISKrtandbEdge 34" xfId="13406" xr:uid="{6BF8F562-FF15-4A45-B033-7F9F9B3507C8}"/>
    <cellStyle name="RISKrtandbEdge 4" xfId="1062" xr:uid="{00000000-0005-0000-0000-00006B060000}"/>
    <cellStyle name="RISKrtandbEdge 4 10" xfId="3026" xr:uid="{8D110CAD-7F3A-4D0B-9FD0-523AD47C23B4}"/>
    <cellStyle name="RISKrtandbEdge 4 10 2" xfId="6409" xr:uid="{C582CCC1-CD0A-43B8-911A-FF7B6F4B0078}"/>
    <cellStyle name="RISKrtandbEdge 4 10 3" xfId="9595" xr:uid="{E45AF6CB-FF2D-4456-BCF0-CBAA554733DD}"/>
    <cellStyle name="RISKrtandbEdge 4 11" xfId="3253" xr:uid="{776B6B0F-42BD-4A56-A703-AF94AECDB982}"/>
    <cellStyle name="RISKrtandbEdge 4 11 2" xfId="6672" xr:uid="{32333AEB-38DD-44E5-A4A6-9F821805A15C}"/>
    <cellStyle name="RISKrtandbEdge 4 11 3" xfId="9837" xr:uid="{1E15E776-38C1-41FA-8A77-68FBA04881C1}"/>
    <cellStyle name="RISKrtandbEdge 4 12" xfId="6934" xr:uid="{FD599E16-FD3C-4D8D-B9FE-F18F2BFB0AF9}"/>
    <cellStyle name="RISKrtandbEdge 4 12 2" xfId="10079" xr:uid="{400DC91D-8B0C-48FC-A7FD-FF90E8A89AE8}"/>
    <cellStyle name="RISKrtandbEdge 4 13" xfId="7198" xr:uid="{29B84737-2F6C-4570-99AE-E469AD121F00}"/>
    <cellStyle name="RISKrtandbEdge 4 13 2" xfId="10337" xr:uid="{3A6B6EC5-2D32-4563-9AAF-8AEAFE260CC5}"/>
    <cellStyle name="RISKrtandbEdge 4 14" xfId="7537" xr:uid="{1F562381-AA5F-4CEE-9DC5-902E2980ABCF}"/>
    <cellStyle name="RISKrtandbEdge 4 14 2" xfId="10671" xr:uid="{52A396BE-A437-46E0-9A2C-8E2B8CD22B04}"/>
    <cellStyle name="RISKrtandbEdge 4 15" xfId="7675" xr:uid="{D438FD88-5957-4928-A5FA-5BF6EA654393}"/>
    <cellStyle name="RISKrtandbEdge 4 15 2" xfId="10808" xr:uid="{A251D553-73B7-461F-BD29-924247E4CDDD}"/>
    <cellStyle name="RISKrtandbEdge 4 16" xfId="4559" xr:uid="{612E1152-4036-4FBF-87AF-B7C0AF92F5E8}"/>
    <cellStyle name="RISKrtandbEdge 4 17" xfId="7779" xr:uid="{85CE3D99-B9A1-421A-A232-723EDB9568E4}"/>
    <cellStyle name="RISKrtandbEdge 4 18" xfId="11061" xr:uid="{7CEB3B88-6011-4D60-AA16-F563D72559CB}"/>
    <cellStyle name="RISKrtandbEdge 4 19" xfId="11477" xr:uid="{F7731354-3B9A-4009-9C1D-1AA485FFF1BA}"/>
    <cellStyle name="RISKrtandbEdge 4 2" xfId="1063" xr:uid="{00000000-0005-0000-0000-00006C060000}"/>
    <cellStyle name="RISKrtandbEdge 4 2 10" xfId="3254" xr:uid="{AAE24826-8E41-4EB5-B236-D57CA8DBA679}"/>
    <cellStyle name="RISKrtandbEdge 4 2 10 2" xfId="6673" xr:uid="{D1F0BB46-39A4-4F41-BA64-936D9FBB0D18}"/>
    <cellStyle name="RISKrtandbEdge 4 2 10 3" xfId="9838" xr:uid="{BFD4D6D0-866D-4633-85D8-D00B96BEF8D9}"/>
    <cellStyle name="RISKrtandbEdge 4 2 11" xfId="6935" xr:uid="{8150362F-7259-4B55-8652-DFC1B2AEF83E}"/>
    <cellStyle name="RISKrtandbEdge 4 2 11 2" xfId="10080" xr:uid="{97D7A335-D6E4-4374-93FA-82B838FFBA78}"/>
    <cellStyle name="RISKrtandbEdge 4 2 12" xfId="7199" xr:uid="{4CDA122E-39BF-49D4-B475-DF2B9C5838CD}"/>
    <cellStyle name="RISKrtandbEdge 4 2 12 2" xfId="10338" xr:uid="{58142A63-47E4-4556-9D7E-0EEC793816EB}"/>
    <cellStyle name="RISKrtandbEdge 4 2 13" xfId="7538" xr:uid="{CB9CCB7D-08A7-4312-AFF5-8E5963571A46}"/>
    <cellStyle name="RISKrtandbEdge 4 2 13 2" xfId="10672" xr:uid="{09DDF3BF-2735-41C7-9926-3022A33F91CF}"/>
    <cellStyle name="RISKrtandbEdge 4 2 14" xfId="7676" xr:uid="{BDBDBFD4-9BD7-4037-9F4F-DB424E55E3FA}"/>
    <cellStyle name="RISKrtandbEdge 4 2 14 2" xfId="10809" xr:uid="{5900226A-F873-46B3-935D-DF7D7058E83E}"/>
    <cellStyle name="RISKrtandbEdge 4 2 15" xfId="4560" xr:uid="{399E724A-EE4B-4FC1-9820-862297D1585B}"/>
    <cellStyle name="RISKrtandbEdge 4 2 16" xfId="7780" xr:uid="{771F6210-D340-4D80-9687-53F79C56F0FF}"/>
    <cellStyle name="RISKrtandbEdge 4 2 17" xfId="11062" xr:uid="{E18F1367-502B-4A8A-96DB-A7178BBDEE20}"/>
    <cellStyle name="RISKrtandbEdge 4 2 18" xfId="11478" xr:uid="{C33B7741-CD68-457D-B184-0A180B3D00D9}"/>
    <cellStyle name="RISKrtandbEdge 4 2 19" xfId="11627" xr:uid="{C798BFC7-7EE1-4C98-AD7C-7D4DDFC1EFF1}"/>
    <cellStyle name="RISKrtandbEdge 4 2 2" xfId="1345" xr:uid="{00000000-0005-0000-0000-00006D060000}"/>
    <cellStyle name="RISKrtandbEdge 4 2 2 2" xfId="3456" xr:uid="{FE162D31-A1C1-45A6-9728-21AE79019208}"/>
    <cellStyle name="RISKrtandbEdge 4 2 2 3" xfId="4762" xr:uid="{ACB98ADA-DB27-4C98-B834-8D35EDF855E1}"/>
    <cellStyle name="RISKrtandbEdge 4 2 2 4" xfId="7972" xr:uid="{71743C2C-A3BB-4924-808E-B3ED7C25AD7C}"/>
    <cellStyle name="RISKrtandbEdge 4 2 20" xfId="11746" xr:uid="{41C89FDA-1769-4C5D-B2CE-AF50D21BCCE3}"/>
    <cellStyle name="RISKrtandbEdge 4 2 21" xfId="11936" xr:uid="{A1E6278D-3C50-4BA8-BDEE-E8783E3FFD01}"/>
    <cellStyle name="RISKrtandbEdge 4 2 22" xfId="12173" xr:uid="{954B919E-48D0-4301-83C3-70ECE0BF51ED}"/>
    <cellStyle name="RISKrtandbEdge 4 2 23" xfId="12630" xr:uid="{963771A6-E7BD-4194-905A-0C16EE27DD00}"/>
    <cellStyle name="RISKrtandbEdge 4 2 24" xfId="12780" xr:uid="{61F96190-EA7B-46CE-8569-C0E6E93B5E98}"/>
    <cellStyle name="RISKrtandbEdge 4 2 25" xfId="12921" xr:uid="{BB96963F-5B8E-48C4-83B2-E152A4C4ABBE}"/>
    <cellStyle name="RISKrtandbEdge 4 2 26" xfId="13283" xr:uid="{37F86079-7942-4B40-8302-71F666274ADD}"/>
    <cellStyle name="RISKrtandbEdge 4 2 27" xfId="13412" xr:uid="{0A0C8713-2E87-4F28-AC04-D0ED921763DA}"/>
    <cellStyle name="RISKrtandbEdge 4 2 3" xfId="1579" xr:uid="{00000000-0005-0000-0000-00006E060000}"/>
    <cellStyle name="RISKrtandbEdge 4 2 3 2" xfId="3680" xr:uid="{A1CE0782-D82E-4ECD-8DDA-BCD5087138D2}"/>
    <cellStyle name="RISKrtandbEdge 4 2 3 3" xfId="4988" xr:uid="{93478635-19B1-4BC5-9211-687ACB92A5EB}"/>
    <cellStyle name="RISKrtandbEdge 4 2 3 4" xfId="8195" xr:uid="{E3BBAACB-96D2-45E1-AFD5-212458BDE4D6}"/>
    <cellStyle name="RISKrtandbEdge 4 2 4" xfId="1836" xr:uid="{00000000-0005-0000-0000-00006F060000}"/>
    <cellStyle name="RISKrtandbEdge 4 2 4 2" xfId="3936" xr:uid="{C161D5CB-693E-43F1-978A-57E9ED335D7F}"/>
    <cellStyle name="RISKrtandbEdge 4 2 4 3" xfId="5240" xr:uid="{4685C778-501B-4718-9D88-94106C30A635}"/>
    <cellStyle name="RISKrtandbEdge 4 2 4 4" xfId="8434" xr:uid="{7492B4C8-0414-4508-94D1-F26489F70622}"/>
    <cellStyle name="RISKrtandbEdge 4 2 5" xfId="2090" xr:uid="{00000000-0005-0000-0000-000070060000}"/>
    <cellStyle name="RISKrtandbEdge 4 2 5 2" xfId="4180" xr:uid="{1BAD3BC3-091F-4092-A8C6-0DC5ADAF4394}"/>
    <cellStyle name="RISKrtandbEdge 4 2 5 3" xfId="5478" xr:uid="{2509ADFB-3EEC-41AF-BAB5-155359A565E7}"/>
    <cellStyle name="RISKrtandbEdge 4 2 5 4" xfId="8670" xr:uid="{6C251069-64B2-4E60-BEC8-90BC1CA18EE6}"/>
    <cellStyle name="RISKrtandbEdge 4 2 6" xfId="2332" xr:uid="{3C8A0C4F-E25A-45C0-8DF1-FA26E6DC1324}"/>
    <cellStyle name="RISKrtandbEdge 4 2 6 2" xfId="5714" xr:uid="{D80330A7-BA12-44DC-8F7F-257BAAECD670}"/>
    <cellStyle name="RISKrtandbEdge 4 2 6 3" xfId="8906" xr:uid="{455DB90D-38C1-47E5-8494-24E5C5A30EF1}"/>
    <cellStyle name="RISKrtandbEdge 4 2 7" xfId="2568" xr:uid="{72E0301B-D274-41AD-8053-C5E2081D949D}"/>
    <cellStyle name="RISKrtandbEdge 4 2 7 2" xfId="5944" xr:uid="{C8104F0E-2E5A-4890-B01E-ACAEACA67452}"/>
    <cellStyle name="RISKrtandbEdge 4 2 7 3" xfId="9136" xr:uid="{23FC1695-1397-4304-A69D-81E1CB9BB7B8}"/>
    <cellStyle name="RISKrtandbEdge 4 2 8" xfId="2807" xr:uid="{A68584D9-3353-4E5A-9F1A-268178F76132}"/>
    <cellStyle name="RISKrtandbEdge 4 2 8 2" xfId="6177" xr:uid="{0F24DB9A-A27C-44DE-B015-B1538262961D}"/>
    <cellStyle name="RISKrtandbEdge 4 2 8 3" xfId="9366" xr:uid="{8F894EC7-6148-412F-841D-249BA828B27B}"/>
    <cellStyle name="RISKrtandbEdge 4 2 9" xfId="3027" xr:uid="{294DA8AD-3947-4EE6-8CD2-F83C7D83E120}"/>
    <cellStyle name="RISKrtandbEdge 4 2 9 2" xfId="6410" xr:uid="{B0F9E7DE-01DE-40CB-9A56-4D7034C42035}"/>
    <cellStyle name="RISKrtandbEdge 4 2 9 3" xfId="9596" xr:uid="{11B81D76-2976-41CA-8A07-1ECE982D0C3F}"/>
    <cellStyle name="RISKrtandbEdge 4 20" xfId="11626" xr:uid="{35E18AB3-976D-4809-9FDD-5ABDA5C73B22}"/>
    <cellStyle name="RISKrtandbEdge 4 21" xfId="11745" xr:uid="{98C8897C-CCF5-4B8C-864B-615C65CA3C95}"/>
    <cellStyle name="RISKrtandbEdge 4 22" xfId="11935" xr:uid="{7E4ACA56-3943-4443-954F-A04E2758DCCB}"/>
    <cellStyle name="RISKrtandbEdge 4 23" xfId="12172" xr:uid="{69D6E0F7-61D4-4921-9B38-6236DA53F3B4}"/>
    <cellStyle name="RISKrtandbEdge 4 24" xfId="12629" xr:uid="{3D7C650B-FA63-4F07-A298-5A26DF7B6088}"/>
    <cellStyle name="RISKrtandbEdge 4 25" xfId="12779" xr:uid="{8D579DE0-017C-4D01-8213-77AADF8CE6A1}"/>
    <cellStyle name="RISKrtandbEdge 4 26" xfId="12920" xr:uid="{D40CB335-7F48-4230-8F7E-8B02C66FE11C}"/>
    <cellStyle name="RISKrtandbEdge 4 27" xfId="13282" xr:uid="{8834DB20-B0FB-4F6C-B1B4-0D01384C028A}"/>
    <cellStyle name="RISKrtandbEdge 4 28" xfId="13411" xr:uid="{06D25750-E6CC-4ECA-8C24-9A9434618A55}"/>
    <cellStyle name="RISKrtandbEdge 4 3" xfId="1344" xr:uid="{00000000-0005-0000-0000-000071060000}"/>
    <cellStyle name="RISKrtandbEdge 4 3 2" xfId="3455" xr:uid="{2772B95D-F895-47D9-AB4D-CFB0E26ECD7C}"/>
    <cellStyle name="RISKrtandbEdge 4 3 3" xfId="4761" xr:uid="{B0F38364-5576-41DC-8135-038B4F5DB81B}"/>
    <cellStyle name="RISKrtandbEdge 4 3 4" xfId="7971" xr:uid="{6D9504D4-09E0-4146-A860-EEE96A5958EC}"/>
    <cellStyle name="RISKrtandbEdge 4 4" xfId="1578" xr:uid="{00000000-0005-0000-0000-000072060000}"/>
    <cellStyle name="RISKrtandbEdge 4 4 2" xfId="3679" xr:uid="{04173499-4AAC-4CAF-8E2D-905E98E3D91A}"/>
    <cellStyle name="RISKrtandbEdge 4 4 3" xfId="4987" xr:uid="{4182FF67-0094-4F5E-89D1-A9F6D94382E0}"/>
    <cellStyle name="RISKrtandbEdge 4 4 4" xfId="8194" xr:uid="{609F8628-013C-4131-8A8D-F99DD465FE9A}"/>
    <cellStyle name="RISKrtandbEdge 4 5" xfId="1835" xr:uid="{00000000-0005-0000-0000-000073060000}"/>
    <cellStyle name="RISKrtandbEdge 4 5 2" xfId="3935" xr:uid="{D7037F54-C09F-49AB-9F8D-EA3D3D3508C2}"/>
    <cellStyle name="RISKrtandbEdge 4 5 3" xfId="5239" xr:uid="{B0A43DCE-2151-4B84-BDDC-6B1C17B02BA0}"/>
    <cellStyle name="RISKrtandbEdge 4 5 4" xfId="8433" xr:uid="{A53F0B8A-8B2B-4D11-AACA-9C6DCDC59988}"/>
    <cellStyle name="RISKrtandbEdge 4 6" xfId="2089" xr:uid="{00000000-0005-0000-0000-000074060000}"/>
    <cellStyle name="RISKrtandbEdge 4 6 2" xfId="4179" xr:uid="{3C6D2C72-2894-40E1-B67B-D7343CFFB5FC}"/>
    <cellStyle name="RISKrtandbEdge 4 6 3" xfId="5477" xr:uid="{41F4AE2F-723E-4811-8D3A-D9E5CDC2BA2E}"/>
    <cellStyle name="RISKrtandbEdge 4 6 4" xfId="8669" xr:uid="{47DB5C61-FED1-4294-BBF8-25F41FCD464D}"/>
    <cellStyle name="RISKrtandbEdge 4 7" xfId="2331" xr:uid="{70239F2D-001C-4467-9C0B-46AD04D9218B}"/>
    <cellStyle name="RISKrtandbEdge 4 7 2" xfId="5713" xr:uid="{96F430F6-E1B0-4D90-BE15-CD0D6B585366}"/>
    <cellStyle name="RISKrtandbEdge 4 7 3" xfId="8905" xr:uid="{56F4E6D4-5739-443D-BC9C-0C1C7860C539}"/>
    <cellStyle name="RISKrtandbEdge 4 8" xfId="2567" xr:uid="{A762616C-2DC4-4C4F-ABF5-ECAA3E2FA714}"/>
    <cellStyle name="RISKrtandbEdge 4 8 2" xfId="5943" xr:uid="{AB88F166-7CC9-409B-ABA6-90C0511616BF}"/>
    <cellStyle name="RISKrtandbEdge 4 8 3" xfId="9135" xr:uid="{A5701FB6-17CC-4211-9525-D4C87D0885F8}"/>
    <cellStyle name="RISKrtandbEdge 4 9" xfId="2806" xr:uid="{44B495E1-AC9E-464B-A8D5-10B8CCC28D1A}"/>
    <cellStyle name="RISKrtandbEdge 4 9 2" xfId="6176" xr:uid="{F55C4D2C-1953-49C5-9C84-2D3D517F040F}"/>
    <cellStyle name="RISKrtandbEdge 4 9 3" xfId="9365" xr:uid="{F5DE0CD6-76D8-49FE-BFF3-13FC406A9BE1}"/>
    <cellStyle name="RISKrtandbEdge 5" xfId="1064" xr:uid="{00000000-0005-0000-0000-000075060000}"/>
    <cellStyle name="RISKrtandbEdge 5 10" xfId="3028" xr:uid="{19E684F5-EE14-48BE-8BDF-2D3172C4EA9E}"/>
    <cellStyle name="RISKrtandbEdge 5 10 2" xfId="6411" xr:uid="{9A17A885-3418-49AF-B1ED-482FC966A16B}"/>
    <cellStyle name="RISKrtandbEdge 5 10 3" xfId="9597" xr:uid="{8BA93883-5BC6-4E0F-B610-E77ACBBD6533}"/>
    <cellStyle name="RISKrtandbEdge 5 11" xfId="3255" xr:uid="{9E1270F9-AF18-4A94-9E7D-804A47AE7D92}"/>
    <cellStyle name="RISKrtandbEdge 5 11 2" xfId="6674" xr:uid="{08F48517-3F84-4BE8-A2BF-3D215A9B34E1}"/>
    <cellStyle name="RISKrtandbEdge 5 11 3" xfId="9839" xr:uid="{EA055094-B79C-4846-BC50-0AEA8AB4A4D6}"/>
    <cellStyle name="RISKrtandbEdge 5 12" xfId="6936" xr:uid="{54E54C5E-E8BF-4B5A-A432-AD47D005691B}"/>
    <cellStyle name="RISKrtandbEdge 5 12 2" xfId="10081" xr:uid="{65C361C6-8187-4504-AD04-4E624C7E8180}"/>
    <cellStyle name="RISKrtandbEdge 5 13" xfId="7200" xr:uid="{573E90D5-438D-4106-9E36-1F7E57806A05}"/>
    <cellStyle name="RISKrtandbEdge 5 13 2" xfId="10339" xr:uid="{AAACBA51-A0C5-4E69-A5EC-161A3AA0B925}"/>
    <cellStyle name="RISKrtandbEdge 5 14" xfId="7539" xr:uid="{5B34A9A6-B337-46D8-8F8E-6859A1C9F827}"/>
    <cellStyle name="RISKrtandbEdge 5 14 2" xfId="10673" xr:uid="{6BCF7D89-7789-4757-B991-8620E52B4A27}"/>
    <cellStyle name="RISKrtandbEdge 5 15" xfId="7677" xr:uid="{6DAB04FE-4E54-4629-BB86-6DC304230627}"/>
    <cellStyle name="RISKrtandbEdge 5 15 2" xfId="10810" xr:uid="{C5CCBA96-982A-458D-AFEB-C091F2EBAB7D}"/>
    <cellStyle name="RISKrtandbEdge 5 16" xfId="4561" xr:uid="{17B71B20-E15D-4274-9D59-1298C632CDEA}"/>
    <cellStyle name="RISKrtandbEdge 5 17" xfId="7781" xr:uid="{0AFD15E3-8BD8-4728-9132-B8D6FE2B8302}"/>
    <cellStyle name="RISKrtandbEdge 5 18" xfId="11063" xr:uid="{E9CCB9DE-5626-4576-9F36-99AE46074856}"/>
    <cellStyle name="RISKrtandbEdge 5 19" xfId="11479" xr:uid="{BF9A5F81-FF6E-4D65-9776-7037E980502C}"/>
    <cellStyle name="RISKrtandbEdge 5 2" xfId="1065" xr:uid="{00000000-0005-0000-0000-000076060000}"/>
    <cellStyle name="RISKrtandbEdge 5 2 10" xfId="3256" xr:uid="{A829B0FC-F15E-483C-A6B0-B17AD75027F8}"/>
    <cellStyle name="RISKrtandbEdge 5 2 10 2" xfId="6675" xr:uid="{3C37FBA1-30CC-4AA5-9727-A090144C7076}"/>
    <cellStyle name="RISKrtandbEdge 5 2 10 3" xfId="9840" xr:uid="{8F37D5CA-B652-4339-BB77-9AB5EE36A521}"/>
    <cellStyle name="RISKrtandbEdge 5 2 11" xfId="6937" xr:uid="{18821C50-7732-4537-9526-55126C537BF0}"/>
    <cellStyle name="RISKrtandbEdge 5 2 11 2" xfId="10082" xr:uid="{4D9CFBFD-5D64-4FD1-93F7-F38C82C6ABF2}"/>
    <cellStyle name="RISKrtandbEdge 5 2 12" xfId="7201" xr:uid="{1912B892-AF92-4253-8644-1F47BBB40D67}"/>
    <cellStyle name="RISKrtandbEdge 5 2 12 2" xfId="10340" xr:uid="{610AD5BC-F3C5-4802-805D-7D341C566DFE}"/>
    <cellStyle name="RISKrtandbEdge 5 2 13" xfId="7540" xr:uid="{FD5FEE0A-25E5-48B8-ABB6-BBE095ABD8C6}"/>
    <cellStyle name="RISKrtandbEdge 5 2 13 2" xfId="10674" xr:uid="{881D0F56-28AF-48CD-B8A4-56D2AA3791F7}"/>
    <cellStyle name="RISKrtandbEdge 5 2 14" xfId="7678" xr:uid="{0BC2D7D2-4ABE-48E4-9183-C916103F071A}"/>
    <cellStyle name="RISKrtandbEdge 5 2 14 2" xfId="10811" xr:uid="{31ADF795-7C6B-4A89-8009-5BD8D0364E83}"/>
    <cellStyle name="RISKrtandbEdge 5 2 15" xfId="4562" xr:uid="{45916EE6-23D0-48CD-9A24-5827AE092E44}"/>
    <cellStyle name="RISKrtandbEdge 5 2 16" xfId="7782" xr:uid="{43BE6E69-A445-4469-B651-576459B3525E}"/>
    <cellStyle name="RISKrtandbEdge 5 2 17" xfId="11064" xr:uid="{32EE0577-D870-4072-AB0D-0A445BC3513E}"/>
    <cellStyle name="RISKrtandbEdge 5 2 18" xfId="11480" xr:uid="{279586D6-5ECC-4959-838C-83ADFF516105}"/>
    <cellStyle name="RISKrtandbEdge 5 2 19" xfId="11629" xr:uid="{FF8DD4E8-E58E-4347-AA86-4772D7782E9B}"/>
    <cellStyle name="RISKrtandbEdge 5 2 2" xfId="1347" xr:uid="{00000000-0005-0000-0000-000077060000}"/>
    <cellStyle name="RISKrtandbEdge 5 2 2 2" xfId="3458" xr:uid="{BF8A5E72-B41D-4E4A-9AC0-849D94256856}"/>
    <cellStyle name="RISKrtandbEdge 5 2 2 3" xfId="4764" xr:uid="{434ABA0E-5ED7-49FC-B2BB-23D2C22B0CD8}"/>
    <cellStyle name="RISKrtandbEdge 5 2 2 4" xfId="7974" xr:uid="{30A6A731-333C-42CD-AF3A-76C0278F8A7F}"/>
    <cellStyle name="RISKrtandbEdge 5 2 20" xfId="11748" xr:uid="{A47E0FA2-F167-4EE4-A25B-C2DED787CDA0}"/>
    <cellStyle name="RISKrtandbEdge 5 2 21" xfId="11938" xr:uid="{03419D46-A9F9-416E-B2A3-1F654269D449}"/>
    <cellStyle name="RISKrtandbEdge 5 2 22" xfId="12175" xr:uid="{CA605E65-0AFB-431F-978D-DFE51CC967AE}"/>
    <cellStyle name="RISKrtandbEdge 5 2 23" xfId="12632" xr:uid="{211F3F67-1A23-47A9-87AA-500B61563D1B}"/>
    <cellStyle name="RISKrtandbEdge 5 2 24" xfId="12782" xr:uid="{EB0054F7-F095-43C7-BB33-189779652261}"/>
    <cellStyle name="RISKrtandbEdge 5 2 25" xfId="12923" xr:uid="{424C6DF5-522A-4E93-B401-55818C3B5DE0}"/>
    <cellStyle name="RISKrtandbEdge 5 2 26" xfId="13285" xr:uid="{A86B9388-9974-4716-A074-2F5F7323C663}"/>
    <cellStyle name="RISKrtandbEdge 5 2 27" xfId="13414" xr:uid="{58E363D1-86B5-448C-8FF1-CF7644D10F1F}"/>
    <cellStyle name="RISKrtandbEdge 5 2 3" xfId="1581" xr:uid="{00000000-0005-0000-0000-000078060000}"/>
    <cellStyle name="RISKrtandbEdge 5 2 3 2" xfId="3682" xr:uid="{68B0CE7F-3A19-49F9-A029-E490B4A49712}"/>
    <cellStyle name="RISKrtandbEdge 5 2 3 3" xfId="4990" xr:uid="{CDA2A277-51AE-4274-8B54-3E7AD48121AF}"/>
    <cellStyle name="RISKrtandbEdge 5 2 3 4" xfId="8197" xr:uid="{4AB04E5F-F25C-40FA-AF66-D97B55B671AA}"/>
    <cellStyle name="RISKrtandbEdge 5 2 4" xfId="1838" xr:uid="{00000000-0005-0000-0000-000079060000}"/>
    <cellStyle name="RISKrtandbEdge 5 2 4 2" xfId="3938" xr:uid="{C974CD1D-0623-482C-8268-2C3C8DA90D85}"/>
    <cellStyle name="RISKrtandbEdge 5 2 4 3" xfId="5242" xr:uid="{0835B75A-0BE7-451E-BACF-34C322AC02BB}"/>
    <cellStyle name="RISKrtandbEdge 5 2 4 4" xfId="8436" xr:uid="{CAE8A1EF-722F-4173-9793-B8D4752601D3}"/>
    <cellStyle name="RISKrtandbEdge 5 2 5" xfId="2092" xr:uid="{00000000-0005-0000-0000-00007A060000}"/>
    <cellStyle name="RISKrtandbEdge 5 2 5 2" xfId="4182" xr:uid="{E6B1C8F2-F49C-4EF5-89F2-324AFF452249}"/>
    <cellStyle name="RISKrtandbEdge 5 2 5 3" xfId="5480" xr:uid="{78E5DE54-E829-4824-86E6-D591F1FB00AB}"/>
    <cellStyle name="RISKrtandbEdge 5 2 5 4" xfId="8672" xr:uid="{91506EC5-ABA0-4EA8-B2A7-6F101CAD6A78}"/>
    <cellStyle name="RISKrtandbEdge 5 2 6" xfId="2334" xr:uid="{502E5955-BF6E-4EF3-94DF-6C6CDA8FCD7B}"/>
    <cellStyle name="RISKrtandbEdge 5 2 6 2" xfId="5716" xr:uid="{E655247C-0886-46B6-86BD-DCBEC2E5A5BA}"/>
    <cellStyle name="RISKrtandbEdge 5 2 6 3" xfId="8908" xr:uid="{B1908383-BB47-4CAD-9FE7-28C4800095BF}"/>
    <cellStyle name="RISKrtandbEdge 5 2 7" xfId="2570" xr:uid="{049A98A2-23C5-4291-A2A3-7A302200FBDD}"/>
    <cellStyle name="RISKrtandbEdge 5 2 7 2" xfId="5946" xr:uid="{E630F0F0-C738-4626-A4E4-789F3E3D49CF}"/>
    <cellStyle name="RISKrtandbEdge 5 2 7 3" xfId="9138" xr:uid="{497FD3DA-8757-43C3-BA20-CD8E6D769564}"/>
    <cellStyle name="RISKrtandbEdge 5 2 8" xfId="2809" xr:uid="{860F9E46-5A22-48E6-9281-FA4C82FC5BEC}"/>
    <cellStyle name="RISKrtandbEdge 5 2 8 2" xfId="6179" xr:uid="{A1495CF8-38F0-4593-804C-88E0B9972953}"/>
    <cellStyle name="RISKrtandbEdge 5 2 8 3" xfId="9368" xr:uid="{331A19AE-C5E4-444F-95F2-40009661A142}"/>
    <cellStyle name="RISKrtandbEdge 5 2 9" xfId="3029" xr:uid="{280E7094-1745-4873-998E-01C69F96755C}"/>
    <cellStyle name="RISKrtandbEdge 5 2 9 2" xfId="6412" xr:uid="{58B3AEB9-3EF5-4A85-8817-D353BAA68F60}"/>
    <cellStyle name="RISKrtandbEdge 5 2 9 3" xfId="9598" xr:uid="{0769CF5F-51EB-46F6-93D2-90DD4689ED61}"/>
    <cellStyle name="RISKrtandbEdge 5 20" xfId="11628" xr:uid="{BCF9659D-183E-43F4-889F-612E61854631}"/>
    <cellStyle name="RISKrtandbEdge 5 21" xfId="11747" xr:uid="{437FFE00-3E0B-4CCA-B2C1-E2A74D44C33F}"/>
    <cellStyle name="RISKrtandbEdge 5 22" xfId="11937" xr:uid="{35F7FE09-A81E-474A-AA0B-15CFB8950A2C}"/>
    <cellStyle name="RISKrtandbEdge 5 23" xfId="12174" xr:uid="{F1CC092B-6824-4E50-A86C-09D8A0E03C06}"/>
    <cellStyle name="RISKrtandbEdge 5 24" xfId="12631" xr:uid="{283850FF-F7AB-4C1C-8EFB-B9F1658F1E36}"/>
    <cellStyle name="RISKrtandbEdge 5 25" xfId="12781" xr:uid="{2F2773CE-4732-4A62-877D-66B0831B8A00}"/>
    <cellStyle name="RISKrtandbEdge 5 26" xfId="12922" xr:uid="{F7CF051C-C1EF-490F-A1FB-AE6EC116B63B}"/>
    <cellStyle name="RISKrtandbEdge 5 27" xfId="13284" xr:uid="{71BEB5A9-3540-4744-A23A-09864E00C258}"/>
    <cellStyle name="RISKrtandbEdge 5 28" xfId="13413" xr:uid="{3E38F31C-0A8D-41C9-A237-30D3B96C6567}"/>
    <cellStyle name="RISKrtandbEdge 5 3" xfId="1346" xr:uid="{00000000-0005-0000-0000-00007B060000}"/>
    <cellStyle name="RISKrtandbEdge 5 3 2" xfId="3457" xr:uid="{CE2E5BEB-AEE6-4804-A04B-FCDE3849237A}"/>
    <cellStyle name="RISKrtandbEdge 5 3 3" xfId="4763" xr:uid="{BDF62D88-1302-4488-9803-02277B1C8854}"/>
    <cellStyle name="RISKrtandbEdge 5 3 4" xfId="7973" xr:uid="{EF88049A-172B-4C79-A0B9-006CDE5D3312}"/>
    <cellStyle name="RISKrtandbEdge 5 4" xfId="1580" xr:uid="{00000000-0005-0000-0000-00007C060000}"/>
    <cellStyle name="RISKrtandbEdge 5 4 2" xfId="3681" xr:uid="{E146AAA2-1783-4FD1-BA35-4E86229EA832}"/>
    <cellStyle name="RISKrtandbEdge 5 4 3" xfId="4989" xr:uid="{D6AED2F8-D986-4950-8EAB-3D84C9AA2B49}"/>
    <cellStyle name="RISKrtandbEdge 5 4 4" xfId="8196" xr:uid="{DD44EA41-C77C-4ECC-9572-FB2A8D27070A}"/>
    <cellStyle name="RISKrtandbEdge 5 5" xfId="1837" xr:uid="{00000000-0005-0000-0000-00007D060000}"/>
    <cellStyle name="RISKrtandbEdge 5 5 2" xfId="3937" xr:uid="{2E1C15C5-D17A-4D8E-9AAE-D73738AAADDC}"/>
    <cellStyle name="RISKrtandbEdge 5 5 3" xfId="5241" xr:uid="{468ED6CD-C4CF-4C56-836B-E8DEF8D6952E}"/>
    <cellStyle name="RISKrtandbEdge 5 5 4" xfId="8435" xr:uid="{ED05D9A8-9D40-45E6-8CE9-F34CA48973E6}"/>
    <cellStyle name="RISKrtandbEdge 5 6" xfId="2091" xr:uid="{00000000-0005-0000-0000-00007E060000}"/>
    <cellStyle name="RISKrtandbEdge 5 6 2" xfId="4181" xr:uid="{24BC793A-C68D-4C49-81C7-D4D999299507}"/>
    <cellStyle name="RISKrtandbEdge 5 6 3" xfId="5479" xr:uid="{DAC95C99-F976-4716-BD26-197F1F00C537}"/>
    <cellStyle name="RISKrtandbEdge 5 6 4" xfId="8671" xr:uid="{0A2DFEDD-8E97-466B-A677-C2AEC7F78FC5}"/>
    <cellStyle name="RISKrtandbEdge 5 7" xfId="2333" xr:uid="{9160268E-BEDF-4B0B-B8A6-0623EEFF0B4B}"/>
    <cellStyle name="RISKrtandbEdge 5 7 2" xfId="5715" xr:uid="{BEEEE6A9-148E-4316-B910-A77BFD98996C}"/>
    <cellStyle name="RISKrtandbEdge 5 7 3" xfId="8907" xr:uid="{0CE10F3D-AB56-481F-B7C0-8987E291DCCF}"/>
    <cellStyle name="RISKrtandbEdge 5 8" xfId="2569" xr:uid="{F763D1E2-C783-4951-8286-615F7A545BA0}"/>
    <cellStyle name="RISKrtandbEdge 5 8 2" xfId="5945" xr:uid="{F351E1ED-B1A0-4180-8C20-AB548F516288}"/>
    <cellStyle name="RISKrtandbEdge 5 8 3" xfId="9137" xr:uid="{BCE09A13-6531-492E-B9BD-34F51CCD8F92}"/>
    <cellStyle name="RISKrtandbEdge 5 9" xfId="2808" xr:uid="{2FA50611-33E9-4821-B53B-2C8EC28D9236}"/>
    <cellStyle name="RISKrtandbEdge 5 9 2" xfId="6178" xr:uid="{71418E51-6D15-4865-A00C-9F4501EE0CE3}"/>
    <cellStyle name="RISKrtandbEdge 5 9 3" xfId="9367" xr:uid="{A073837C-1BC9-475D-8AEE-0BA01DEFA49C}"/>
    <cellStyle name="RISKrtandbEdge 6" xfId="1066" xr:uid="{00000000-0005-0000-0000-00007F060000}"/>
    <cellStyle name="RISKrtandbEdge 6 10" xfId="3030" xr:uid="{4D92F4F1-92AC-4E95-A8E9-028880A23688}"/>
    <cellStyle name="RISKrtandbEdge 6 10 2" xfId="6413" xr:uid="{890D52FB-3C7F-4EF2-A153-FBD08DB83AF0}"/>
    <cellStyle name="RISKrtandbEdge 6 10 3" xfId="9599" xr:uid="{726911F2-3A77-4ADA-A4A4-67676DEE4D03}"/>
    <cellStyle name="RISKrtandbEdge 6 11" xfId="3257" xr:uid="{4DF5E9C8-3F2B-4981-AB63-8295E12EC593}"/>
    <cellStyle name="RISKrtandbEdge 6 11 2" xfId="6676" xr:uid="{8EF85DB3-C4BF-483C-8139-BC47FBFFCEB9}"/>
    <cellStyle name="RISKrtandbEdge 6 11 3" xfId="9841" xr:uid="{3C2507A9-390D-4F7D-B982-C56061044F27}"/>
    <cellStyle name="RISKrtandbEdge 6 12" xfId="6938" xr:uid="{D2F660EF-6C8E-441F-A451-15EDE75740D0}"/>
    <cellStyle name="RISKrtandbEdge 6 12 2" xfId="10083" xr:uid="{664D5E87-D4C6-4C78-97EF-CA7FC82D01CB}"/>
    <cellStyle name="RISKrtandbEdge 6 13" xfId="7202" xr:uid="{C2BFA121-2778-4342-B427-F2675BA6F8C8}"/>
    <cellStyle name="RISKrtandbEdge 6 13 2" xfId="10341" xr:uid="{FB2DFE9C-9D84-4B5B-B206-5CF7D38C421F}"/>
    <cellStyle name="RISKrtandbEdge 6 14" xfId="7541" xr:uid="{2D814409-0C4A-4401-9590-C09A5CD98D0F}"/>
    <cellStyle name="RISKrtandbEdge 6 14 2" xfId="10675" xr:uid="{00B48217-4C25-4716-9E66-110DE7A8B331}"/>
    <cellStyle name="RISKrtandbEdge 6 15" xfId="7679" xr:uid="{760183EB-4040-41EC-83CD-F468D8810F43}"/>
    <cellStyle name="RISKrtandbEdge 6 15 2" xfId="10812" xr:uid="{CEE13201-D114-4F53-90CB-FBA600A200E3}"/>
    <cellStyle name="RISKrtandbEdge 6 16" xfId="4563" xr:uid="{A40E915E-35FE-43DC-8C12-9F58A0163F47}"/>
    <cellStyle name="RISKrtandbEdge 6 17" xfId="7783" xr:uid="{BB67E202-B6D7-4A6B-A1CC-258F8E1B8913}"/>
    <cellStyle name="RISKrtandbEdge 6 18" xfId="11065" xr:uid="{0912D1A9-C112-47F8-BB89-CDE34D7D3EFD}"/>
    <cellStyle name="RISKrtandbEdge 6 19" xfId="11481" xr:uid="{6F74E27C-CAB5-4171-8D50-B13E43EC10BE}"/>
    <cellStyle name="RISKrtandbEdge 6 2" xfId="1067" xr:uid="{00000000-0005-0000-0000-000080060000}"/>
    <cellStyle name="RISKrtandbEdge 6 2 10" xfId="3258" xr:uid="{0B38DC66-3340-4F47-84E5-0BE8C9C7BCB0}"/>
    <cellStyle name="RISKrtandbEdge 6 2 10 2" xfId="6677" xr:uid="{EC00BA2F-0579-4823-8369-65269AE2D638}"/>
    <cellStyle name="RISKrtandbEdge 6 2 10 3" xfId="9842" xr:uid="{86179F3F-93EF-4260-9483-FBC16A9AF7A2}"/>
    <cellStyle name="RISKrtandbEdge 6 2 11" xfId="6939" xr:uid="{2BDB58DB-68A0-4906-A948-61F36C070E7B}"/>
    <cellStyle name="RISKrtandbEdge 6 2 11 2" xfId="10084" xr:uid="{1485D333-4DB6-4FC5-8A49-6E4A22EA53F8}"/>
    <cellStyle name="RISKrtandbEdge 6 2 12" xfId="7203" xr:uid="{AA14D6C2-64D5-464A-8B63-4E84F1BF7E34}"/>
    <cellStyle name="RISKrtandbEdge 6 2 12 2" xfId="10342" xr:uid="{73854872-F8AF-4BF4-8BCD-BEA0B9AD51A7}"/>
    <cellStyle name="RISKrtandbEdge 6 2 13" xfId="7542" xr:uid="{84D9E1C7-E982-4439-B524-ECBE0767E06D}"/>
    <cellStyle name="RISKrtandbEdge 6 2 13 2" xfId="10676" xr:uid="{3CEB1C4C-3B7E-4DC1-9477-2F061129FE7E}"/>
    <cellStyle name="RISKrtandbEdge 6 2 14" xfId="7680" xr:uid="{B42D4F2F-FA6A-40F7-824D-A4472FFE8771}"/>
    <cellStyle name="RISKrtandbEdge 6 2 14 2" xfId="10813" xr:uid="{82ABBB29-D139-4B24-835C-DED504A4F9EB}"/>
    <cellStyle name="RISKrtandbEdge 6 2 15" xfId="4564" xr:uid="{1E497150-131B-4F11-A9FB-C8437DEF323F}"/>
    <cellStyle name="RISKrtandbEdge 6 2 16" xfId="7784" xr:uid="{5DC05998-C18C-493E-8323-5EC7F82FEFAC}"/>
    <cellStyle name="RISKrtandbEdge 6 2 17" xfId="11066" xr:uid="{BD8B3F2D-0965-48F2-ABBD-A741E5E14BDC}"/>
    <cellStyle name="RISKrtandbEdge 6 2 18" xfId="11482" xr:uid="{31C1C70D-F18A-4C5E-BCEA-107B5484D06C}"/>
    <cellStyle name="RISKrtandbEdge 6 2 19" xfId="11631" xr:uid="{3EF7C5D9-A95C-4DE2-ADAF-514D105679A1}"/>
    <cellStyle name="RISKrtandbEdge 6 2 2" xfId="1349" xr:uid="{00000000-0005-0000-0000-000081060000}"/>
    <cellStyle name="RISKrtandbEdge 6 2 2 2" xfId="3460" xr:uid="{29A07286-9876-4018-895F-FD49FC51465E}"/>
    <cellStyle name="RISKrtandbEdge 6 2 2 3" xfId="4766" xr:uid="{2D187C7F-1CAF-46C9-B098-DDC721ED8D75}"/>
    <cellStyle name="RISKrtandbEdge 6 2 2 4" xfId="7976" xr:uid="{9129862E-57B8-40C9-BAD8-7DB8315A2B79}"/>
    <cellStyle name="RISKrtandbEdge 6 2 20" xfId="11750" xr:uid="{B0E878D0-AE08-4942-BDE2-77DEB1821B92}"/>
    <cellStyle name="RISKrtandbEdge 6 2 21" xfId="11940" xr:uid="{8AEDE758-4EA9-4F8B-B94A-90B0F4F6C7B5}"/>
    <cellStyle name="RISKrtandbEdge 6 2 22" xfId="12177" xr:uid="{C06B3FF6-00AF-415F-895E-FDD4579A985A}"/>
    <cellStyle name="RISKrtandbEdge 6 2 23" xfId="12634" xr:uid="{7192532D-6D3F-41B4-BCBD-928C4E52DAC2}"/>
    <cellStyle name="RISKrtandbEdge 6 2 24" xfId="12784" xr:uid="{6537B6C0-F0ED-4B08-B264-E4FBAE1E6942}"/>
    <cellStyle name="RISKrtandbEdge 6 2 25" xfId="12925" xr:uid="{CD0B3A28-5444-441F-8C1C-D59D142AFBEE}"/>
    <cellStyle name="RISKrtandbEdge 6 2 26" xfId="13287" xr:uid="{495D8FDD-02E1-41B2-98A9-983FDF09BDBA}"/>
    <cellStyle name="RISKrtandbEdge 6 2 27" xfId="13416" xr:uid="{61A27043-DFDB-4E85-A380-10019A59BF13}"/>
    <cellStyle name="RISKrtandbEdge 6 2 3" xfId="1583" xr:uid="{00000000-0005-0000-0000-000082060000}"/>
    <cellStyle name="RISKrtandbEdge 6 2 3 2" xfId="3684" xr:uid="{3DAA15C5-9D8E-4F10-830F-8356EF867FD8}"/>
    <cellStyle name="RISKrtandbEdge 6 2 3 3" xfId="4992" xr:uid="{0FB4C2F6-F4C8-4100-981A-551A1A732A2A}"/>
    <cellStyle name="RISKrtandbEdge 6 2 3 4" xfId="8199" xr:uid="{3DF7E4C7-C26F-44DF-9940-D0F72529CECA}"/>
    <cellStyle name="RISKrtandbEdge 6 2 4" xfId="1840" xr:uid="{00000000-0005-0000-0000-000083060000}"/>
    <cellStyle name="RISKrtandbEdge 6 2 4 2" xfId="3940" xr:uid="{9CFAA981-E40D-4955-991E-4F54A5532331}"/>
    <cellStyle name="RISKrtandbEdge 6 2 4 3" xfId="5244" xr:uid="{D9B45C20-690D-4A1C-8B63-C47326F39B7E}"/>
    <cellStyle name="RISKrtandbEdge 6 2 4 4" xfId="8438" xr:uid="{2F72F6AF-4423-4D23-8632-DE0085879AE8}"/>
    <cellStyle name="RISKrtandbEdge 6 2 5" xfId="2094" xr:uid="{00000000-0005-0000-0000-000084060000}"/>
    <cellStyle name="RISKrtandbEdge 6 2 5 2" xfId="4184" xr:uid="{5BA317EC-457A-4EB5-A535-1B06DDEE9BFD}"/>
    <cellStyle name="RISKrtandbEdge 6 2 5 3" xfId="5482" xr:uid="{02609D1A-33F9-4A0D-8096-4B9CB70BC693}"/>
    <cellStyle name="RISKrtandbEdge 6 2 5 4" xfId="8674" xr:uid="{E6DA3C0D-490E-4275-8993-D345996F3C4E}"/>
    <cellStyle name="RISKrtandbEdge 6 2 6" xfId="2336" xr:uid="{8A7D277F-D904-4AA1-B7F9-F32BA1E39D1F}"/>
    <cellStyle name="RISKrtandbEdge 6 2 6 2" xfId="5718" xr:uid="{2B60830D-F397-4C80-93D0-FDFC5AB3BC70}"/>
    <cellStyle name="RISKrtandbEdge 6 2 6 3" xfId="8910" xr:uid="{97EB0650-73C9-40C3-8BA5-298DE02473C8}"/>
    <cellStyle name="RISKrtandbEdge 6 2 7" xfId="2572" xr:uid="{7D5AD9CE-A4CF-499B-9A0F-CC691FF5230E}"/>
    <cellStyle name="RISKrtandbEdge 6 2 7 2" xfId="5948" xr:uid="{9E14C9A0-A09A-450F-A750-5E385E4499CF}"/>
    <cellStyle name="RISKrtandbEdge 6 2 7 3" xfId="9140" xr:uid="{46539BD1-6644-490D-BFCE-3EDE8E841C63}"/>
    <cellStyle name="RISKrtandbEdge 6 2 8" xfId="2811" xr:uid="{2F9BBD95-D0DD-4516-8663-936F81D7AE6D}"/>
    <cellStyle name="RISKrtandbEdge 6 2 8 2" xfId="6181" xr:uid="{06079E63-408B-4647-A3D3-F832BE94B530}"/>
    <cellStyle name="RISKrtandbEdge 6 2 8 3" xfId="9370" xr:uid="{9291FEFB-D5D6-47A5-B6FE-C04D74AD61F5}"/>
    <cellStyle name="RISKrtandbEdge 6 2 9" xfId="3031" xr:uid="{785C4E27-EA31-4A57-A664-B6461AA095DF}"/>
    <cellStyle name="RISKrtandbEdge 6 2 9 2" xfId="6414" xr:uid="{939B6B38-4998-4098-BFE4-E7BBA89CC93F}"/>
    <cellStyle name="RISKrtandbEdge 6 2 9 3" xfId="9600" xr:uid="{5B3BE7FE-0018-4574-A45B-738764EB752B}"/>
    <cellStyle name="RISKrtandbEdge 6 20" xfId="11630" xr:uid="{80C44C8E-0EC8-4F9F-8E12-4E959FBF8553}"/>
    <cellStyle name="RISKrtandbEdge 6 21" xfId="11749" xr:uid="{E43CEFA5-BF29-42F7-A237-2A15BC0C2962}"/>
    <cellStyle name="RISKrtandbEdge 6 22" xfId="11939" xr:uid="{A2F9CB30-71F0-4B67-85F6-4A73B17C9C2D}"/>
    <cellStyle name="RISKrtandbEdge 6 23" xfId="12176" xr:uid="{306528FA-22BE-4BAC-A4C1-F3272E49F233}"/>
    <cellStyle name="RISKrtandbEdge 6 24" xfId="12633" xr:uid="{C8DE7978-EA89-42BB-A817-0DEA83B0896E}"/>
    <cellStyle name="RISKrtandbEdge 6 25" xfId="12783" xr:uid="{6BACDA0E-0D7E-4442-BCD5-BDA09A4F2D44}"/>
    <cellStyle name="RISKrtandbEdge 6 26" xfId="12924" xr:uid="{C00DFB7E-4FF4-47FC-ADCB-88C91A747A55}"/>
    <cellStyle name="RISKrtandbEdge 6 27" xfId="13286" xr:uid="{75F45826-A33D-4270-BC62-277C23E2E6BF}"/>
    <cellStyle name="RISKrtandbEdge 6 28" xfId="13415" xr:uid="{147ABA79-2147-41A2-A411-1C3349D2B2EC}"/>
    <cellStyle name="RISKrtandbEdge 6 3" xfId="1348" xr:uid="{00000000-0005-0000-0000-000085060000}"/>
    <cellStyle name="RISKrtandbEdge 6 3 2" xfId="3459" xr:uid="{DB38E9C7-4FE1-4596-84F6-C9A8CC48CDF6}"/>
    <cellStyle name="RISKrtandbEdge 6 3 3" xfId="4765" xr:uid="{2AE796EB-FBA0-4841-8D2C-C0C1CA66AD86}"/>
    <cellStyle name="RISKrtandbEdge 6 3 4" xfId="7975" xr:uid="{08567CCB-572D-4546-AF73-B63DAC0BFE84}"/>
    <cellStyle name="RISKrtandbEdge 6 4" xfId="1582" xr:uid="{00000000-0005-0000-0000-000086060000}"/>
    <cellStyle name="RISKrtandbEdge 6 4 2" xfId="3683" xr:uid="{8501C510-3A47-495F-AAF8-727B965A96C3}"/>
    <cellStyle name="RISKrtandbEdge 6 4 3" xfId="4991" xr:uid="{816EAC57-EC37-4DFE-8D9F-B87901FAA00B}"/>
    <cellStyle name="RISKrtandbEdge 6 4 4" xfId="8198" xr:uid="{C6E7158A-53A9-4B6C-A830-E9A3AE014BD8}"/>
    <cellStyle name="RISKrtandbEdge 6 5" xfId="1839" xr:uid="{00000000-0005-0000-0000-000087060000}"/>
    <cellStyle name="RISKrtandbEdge 6 5 2" xfId="3939" xr:uid="{BD546081-A19E-46BC-8A27-DEABBDFAD597}"/>
    <cellStyle name="RISKrtandbEdge 6 5 3" xfId="5243" xr:uid="{6D1322E8-DD91-43FF-8F43-9ACF37E32C29}"/>
    <cellStyle name="RISKrtandbEdge 6 5 4" xfId="8437" xr:uid="{7F705402-EEE6-4314-9F76-8E882DDB67C7}"/>
    <cellStyle name="RISKrtandbEdge 6 6" xfId="2093" xr:uid="{00000000-0005-0000-0000-000088060000}"/>
    <cellStyle name="RISKrtandbEdge 6 6 2" xfId="4183" xr:uid="{A96889F3-A3CB-4AA4-A213-4BC5E13A5FFD}"/>
    <cellStyle name="RISKrtandbEdge 6 6 3" xfId="5481" xr:uid="{1483FDCA-10D9-4EBF-81BC-4836967E79C1}"/>
    <cellStyle name="RISKrtandbEdge 6 6 4" xfId="8673" xr:uid="{15442076-F10D-4346-8494-06CDB1599ED4}"/>
    <cellStyle name="RISKrtandbEdge 6 7" xfId="2335" xr:uid="{96D3C173-AD3D-43ED-8FD4-E650910ACF1C}"/>
    <cellStyle name="RISKrtandbEdge 6 7 2" xfId="5717" xr:uid="{A9F33FB5-BD91-4AD2-A8E5-504D2911087B}"/>
    <cellStyle name="RISKrtandbEdge 6 7 3" xfId="8909" xr:uid="{3F3FF700-2C80-49E6-AB99-0584498F5940}"/>
    <cellStyle name="RISKrtandbEdge 6 8" xfId="2571" xr:uid="{039FDE1E-A74B-470D-B59C-1F899E8B0638}"/>
    <cellStyle name="RISKrtandbEdge 6 8 2" xfId="5947" xr:uid="{CB0FF296-1A4C-40D9-8FCE-56E75DE805C1}"/>
    <cellStyle name="RISKrtandbEdge 6 8 3" xfId="9139" xr:uid="{4C82BC02-1924-49CF-9E8C-1617363CDF00}"/>
    <cellStyle name="RISKrtandbEdge 6 9" xfId="2810" xr:uid="{34EE14CA-9689-4CE9-B8DA-EDEA9BF29567}"/>
    <cellStyle name="RISKrtandbEdge 6 9 2" xfId="6180" xr:uid="{14FB6866-82F7-4262-B1A9-CD5B4BD6ED3B}"/>
    <cellStyle name="RISKrtandbEdge 6 9 3" xfId="9369" xr:uid="{63BED077-8E40-4C85-9446-DCF70C099F8D}"/>
    <cellStyle name="RISKrtandbEdge 7" xfId="1068" xr:uid="{00000000-0005-0000-0000-000089060000}"/>
    <cellStyle name="RISKrtandbEdge 7 10" xfId="2812" xr:uid="{9E13DF17-EE26-443C-A720-E52A385B9239}"/>
    <cellStyle name="RISKrtandbEdge 7 10 2" xfId="6182" xr:uid="{FC291A47-4193-4B89-8840-BD95FCA016D9}"/>
    <cellStyle name="RISKrtandbEdge 7 10 3" xfId="9371" xr:uid="{8B448022-1A86-4431-B205-A96FBE016874}"/>
    <cellStyle name="RISKrtandbEdge 7 11" xfId="3032" xr:uid="{687413FC-DB2F-4474-82E8-681BCAFE7A2B}"/>
    <cellStyle name="RISKrtandbEdge 7 11 2" xfId="6415" xr:uid="{B650B183-0CCD-44E6-8294-894B5EA34253}"/>
    <cellStyle name="RISKrtandbEdge 7 11 3" xfId="9601" xr:uid="{FE413DBF-9A4F-4FB3-98B6-4D6136AB5616}"/>
    <cellStyle name="RISKrtandbEdge 7 12" xfId="3259" xr:uid="{687B7CAC-73C1-4393-AE3E-F7BC8B529988}"/>
    <cellStyle name="RISKrtandbEdge 7 12 2" xfId="6678" xr:uid="{A910766D-8944-46EF-8A74-43774459BF84}"/>
    <cellStyle name="RISKrtandbEdge 7 12 3" xfId="9843" xr:uid="{2E0DCDF0-75B8-4B62-A981-C152D0E5C1D7}"/>
    <cellStyle name="RISKrtandbEdge 7 13" xfId="6940" xr:uid="{2552D516-6AF0-4F8C-B224-74B07512A83C}"/>
    <cellStyle name="RISKrtandbEdge 7 13 2" xfId="10085" xr:uid="{0F1D1F86-6EF1-43A1-A941-FA03999B7CB3}"/>
    <cellStyle name="RISKrtandbEdge 7 14" xfId="7204" xr:uid="{8C5C561D-7867-484F-92E8-B2DBF1592526}"/>
    <cellStyle name="RISKrtandbEdge 7 14 2" xfId="10343" xr:uid="{2DE5BFC0-6725-47E4-A9FF-23F4876196C1}"/>
    <cellStyle name="RISKrtandbEdge 7 15" xfId="7543" xr:uid="{BFB0BC5D-943A-4148-9CB8-F2E81045F6C4}"/>
    <cellStyle name="RISKrtandbEdge 7 15 2" xfId="10677" xr:uid="{3BACDA05-709E-4CDF-9758-6DF1275936E2}"/>
    <cellStyle name="RISKrtandbEdge 7 16" xfId="7681" xr:uid="{7666A2A4-74FB-4534-B39B-6E0875A8BBAB}"/>
    <cellStyle name="RISKrtandbEdge 7 16 2" xfId="10814" xr:uid="{C828D45D-C8E9-4DDE-A31C-49ACDE8CEB0A}"/>
    <cellStyle name="RISKrtandbEdge 7 17" xfId="4565" xr:uid="{44963F93-CA86-4DE2-B7C8-BBFE00FD7D49}"/>
    <cellStyle name="RISKrtandbEdge 7 18" xfId="7785" xr:uid="{EA2D55E8-3C83-40EF-94EA-7B82A032A8B8}"/>
    <cellStyle name="RISKrtandbEdge 7 19" xfId="11067" xr:uid="{CEF83181-E1B3-477D-BC39-7A4821DB6F64}"/>
    <cellStyle name="RISKrtandbEdge 7 2" xfId="1069" xr:uid="{00000000-0005-0000-0000-00008A060000}"/>
    <cellStyle name="RISKrtandbEdge 7 2 10" xfId="3260" xr:uid="{DAE524DE-263E-4CD5-846F-6E8A75AD26AC}"/>
    <cellStyle name="RISKrtandbEdge 7 2 10 2" xfId="6679" xr:uid="{0C837A6A-C714-415C-9D15-D98D6B9DE745}"/>
    <cellStyle name="RISKrtandbEdge 7 2 10 3" xfId="9844" xr:uid="{C7D206B8-6D6D-4215-A814-F0F3C77D5566}"/>
    <cellStyle name="RISKrtandbEdge 7 2 11" xfId="6941" xr:uid="{3A2D9098-6D7D-43EF-A379-BBBE035C0563}"/>
    <cellStyle name="RISKrtandbEdge 7 2 11 2" xfId="10086" xr:uid="{69BAB12F-1B0B-4AF2-B65A-E48D874DBBCF}"/>
    <cellStyle name="RISKrtandbEdge 7 2 12" xfId="7205" xr:uid="{088AB091-72CF-4285-B108-BF58A0794459}"/>
    <cellStyle name="RISKrtandbEdge 7 2 12 2" xfId="10344" xr:uid="{ED71740F-12F6-4235-BEE8-3AA3712E818D}"/>
    <cellStyle name="RISKrtandbEdge 7 2 13" xfId="7544" xr:uid="{0E209D51-C141-42DB-8D0B-21D3DC615C4F}"/>
    <cellStyle name="RISKrtandbEdge 7 2 13 2" xfId="10678" xr:uid="{731E8EBC-CE57-46AC-A1CA-24FED5874BC7}"/>
    <cellStyle name="RISKrtandbEdge 7 2 14" xfId="7682" xr:uid="{99CCB680-6895-41F1-8AD4-E09E4B72CC09}"/>
    <cellStyle name="RISKrtandbEdge 7 2 14 2" xfId="10815" xr:uid="{BF86AF3F-1780-47BA-A93B-A5D46A323F86}"/>
    <cellStyle name="RISKrtandbEdge 7 2 15" xfId="4566" xr:uid="{0ABFC3E0-8AFD-44F9-969A-44B4D9FF30FA}"/>
    <cellStyle name="RISKrtandbEdge 7 2 16" xfId="7786" xr:uid="{42F093B1-82A8-40F5-A968-F9FDF8071588}"/>
    <cellStyle name="RISKrtandbEdge 7 2 17" xfId="11068" xr:uid="{4D0F938C-3210-47D6-8E3C-097D4B6539A5}"/>
    <cellStyle name="RISKrtandbEdge 7 2 18" xfId="11484" xr:uid="{EFEEBEED-8208-44BA-9D65-2C2D9257DD84}"/>
    <cellStyle name="RISKrtandbEdge 7 2 19" xfId="11633" xr:uid="{37500664-EED7-43E1-A866-6E23054EAD13}"/>
    <cellStyle name="RISKrtandbEdge 7 2 2" xfId="1351" xr:uid="{00000000-0005-0000-0000-00008B060000}"/>
    <cellStyle name="RISKrtandbEdge 7 2 2 2" xfId="3462" xr:uid="{1539C844-5172-4D24-80C3-DEC50B5F0475}"/>
    <cellStyle name="RISKrtandbEdge 7 2 2 3" xfId="4768" xr:uid="{816E9AC5-7015-4BAC-B159-871864850DC3}"/>
    <cellStyle name="RISKrtandbEdge 7 2 2 4" xfId="7978" xr:uid="{42AD8895-272C-45C9-95BB-F341B219F91F}"/>
    <cellStyle name="RISKrtandbEdge 7 2 20" xfId="11752" xr:uid="{9C39BD55-F3DC-44F7-AF7C-3CEE6C5F1747}"/>
    <cellStyle name="RISKrtandbEdge 7 2 21" xfId="11942" xr:uid="{C655B286-0CF9-4D45-8A2E-E1BE31476D18}"/>
    <cellStyle name="RISKrtandbEdge 7 2 22" xfId="12179" xr:uid="{86C3761E-A903-4318-B235-D8A334293F83}"/>
    <cellStyle name="RISKrtandbEdge 7 2 23" xfId="12636" xr:uid="{D01C61ED-54BC-4DF2-B4E6-4396B4C6E15E}"/>
    <cellStyle name="RISKrtandbEdge 7 2 24" xfId="12786" xr:uid="{EF39D152-587A-4C59-BB3C-B628689D2E1F}"/>
    <cellStyle name="RISKrtandbEdge 7 2 25" xfId="12927" xr:uid="{259BC368-3534-4BE9-A98B-8FD856FF230F}"/>
    <cellStyle name="RISKrtandbEdge 7 2 26" xfId="13289" xr:uid="{BFE7CE9F-4A38-4C31-BDB7-2A4CCFF58D8E}"/>
    <cellStyle name="RISKrtandbEdge 7 2 27" xfId="13418" xr:uid="{86E4D91F-BA12-4959-A9C3-5A17AD0312B8}"/>
    <cellStyle name="RISKrtandbEdge 7 2 3" xfId="1585" xr:uid="{00000000-0005-0000-0000-00008C060000}"/>
    <cellStyle name="RISKrtandbEdge 7 2 3 2" xfId="3686" xr:uid="{73DA9274-1061-4826-8152-94CB4540C551}"/>
    <cellStyle name="RISKrtandbEdge 7 2 3 3" xfId="4994" xr:uid="{3509EDBB-6D38-4F94-85DC-A5BA9FD54772}"/>
    <cellStyle name="RISKrtandbEdge 7 2 3 4" xfId="8201" xr:uid="{E9BFBBEC-434A-4903-A05F-27307053ADB7}"/>
    <cellStyle name="RISKrtandbEdge 7 2 4" xfId="1842" xr:uid="{00000000-0005-0000-0000-00008D060000}"/>
    <cellStyle name="RISKrtandbEdge 7 2 4 2" xfId="3942" xr:uid="{EAE10A04-3AFB-4308-AD13-ED7EDD5A8AB8}"/>
    <cellStyle name="RISKrtandbEdge 7 2 4 3" xfId="5246" xr:uid="{9A84F545-E973-4BAE-8DED-B1DECD8CEB71}"/>
    <cellStyle name="RISKrtandbEdge 7 2 4 4" xfId="8440" xr:uid="{461C8FA0-5173-4597-90B2-89A956DA6BC5}"/>
    <cellStyle name="RISKrtandbEdge 7 2 5" xfId="2096" xr:uid="{00000000-0005-0000-0000-00008E060000}"/>
    <cellStyle name="RISKrtandbEdge 7 2 5 2" xfId="4186" xr:uid="{07205D40-3BFC-45FF-8E57-3866A9C92D56}"/>
    <cellStyle name="RISKrtandbEdge 7 2 5 3" xfId="5484" xr:uid="{A014C889-7260-47D0-A4F5-F4DEDA4152AA}"/>
    <cellStyle name="RISKrtandbEdge 7 2 5 4" xfId="8676" xr:uid="{BE449EB9-234D-4F88-960C-2A7565FE27BC}"/>
    <cellStyle name="RISKrtandbEdge 7 2 6" xfId="2338" xr:uid="{43B7AC9F-2936-4248-BA47-F1F419E71BA7}"/>
    <cellStyle name="RISKrtandbEdge 7 2 6 2" xfId="5720" xr:uid="{A8BE87D8-CE95-4D52-BCF4-D149A6B17C97}"/>
    <cellStyle name="RISKrtandbEdge 7 2 6 3" xfId="8912" xr:uid="{A859B4D1-61EF-4651-9E14-BD854DA883B9}"/>
    <cellStyle name="RISKrtandbEdge 7 2 7" xfId="2574" xr:uid="{ACF500A8-EDC8-4750-812F-ED51EA3CBB22}"/>
    <cellStyle name="RISKrtandbEdge 7 2 7 2" xfId="5950" xr:uid="{20500733-E719-498F-AB87-AE41F5B92A6F}"/>
    <cellStyle name="RISKrtandbEdge 7 2 7 3" xfId="9142" xr:uid="{E5C1638D-6619-415F-88BA-1288DBAB15F9}"/>
    <cellStyle name="RISKrtandbEdge 7 2 8" xfId="2813" xr:uid="{2A0B8CDB-A2CB-4A89-BD58-60BD1FCF4C58}"/>
    <cellStyle name="RISKrtandbEdge 7 2 8 2" xfId="6183" xr:uid="{9FF9778D-A9E6-442F-8EB3-A2F56C3B1580}"/>
    <cellStyle name="RISKrtandbEdge 7 2 8 3" xfId="9372" xr:uid="{C69F94F6-A849-4B21-8125-CC93F545227C}"/>
    <cellStyle name="RISKrtandbEdge 7 2 9" xfId="3033" xr:uid="{A9D62DCE-32C0-45C9-90CA-6A0076E4310A}"/>
    <cellStyle name="RISKrtandbEdge 7 2 9 2" xfId="6416" xr:uid="{DF4A5D04-A5CE-4D2F-9635-0ECE5C3CA3CC}"/>
    <cellStyle name="RISKrtandbEdge 7 2 9 3" xfId="9602" xr:uid="{9876C55C-9047-4116-AFE5-424B50A97740}"/>
    <cellStyle name="RISKrtandbEdge 7 20" xfId="11483" xr:uid="{1049C75A-7F90-4E82-9399-3BEB41E9C954}"/>
    <cellStyle name="RISKrtandbEdge 7 21" xfId="11632" xr:uid="{17331F75-1E32-4183-98F5-A8C0A601E892}"/>
    <cellStyle name="RISKrtandbEdge 7 22" xfId="11751" xr:uid="{0DEB668A-2505-44C0-996F-FDACCAC7363E}"/>
    <cellStyle name="RISKrtandbEdge 7 23" xfId="11941" xr:uid="{B4DDC0B8-2D5C-4682-824C-F5A0972065C1}"/>
    <cellStyle name="RISKrtandbEdge 7 24" xfId="12178" xr:uid="{B2FE157C-8F14-4254-8481-0901339BC395}"/>
    <cellStyle name="RISKrtandbEdge 7 25" xfId="12635" xr:uid="{B3175824-FB42-4D82-B1F0-FD3A76D8889D}"/>
    <cellStyle name="RISKrtandbEdge 7 26" xfId="12785" xr:uid="{14F75C60-90AF-49D5-B52E-8C1005E60351}"/>
    <cellStyle name="RISKrtandbEdge 7 27" xfId="12926" xr:uid="{027ECA42-97A4-4447-9CFE-49DA877DDE12}"/>
    <cellStyle name="RISKrtandbEdge 7 28" xfId="13288" xr:uid="{11989982-DC37-4319-9041-F594C150F8B3}"/>
    <cellStyle name="RISKrtandbEdge 7 29" xfId="13417" xr:uid="{C33B9269-2401-4B34-BFD1-022A500E5939}"/>
    <cellStyle name="RISKrtandbEdge 7 3" xfId="1070" xr:uid="{00000000-0005-0000-0000-00008F060000}"/>
    <cellStyle name="RISKrtandbEdge 7 3 10" xfId="3261" xr:uid="{9D209FA3-B83D-4C20-B678-03A3A6FEB3A3}"/>
    <cellStyle name="RISKrtandbEdge 7 3 10 2" xfId="6680" xr:uid="{D485540C-74AD-4304-852E-EB219AB5C68B}"/>
    <cellStyle name="RISKrtandbEdge 7 3 10 3" xfId="9845" xr:uid="{65F4382B-6208-4971-B0D2-7104A8850887}"/>
    <cellStyle name="RISKrtandbEdge 7 3 11" xfId="6942" xr:uid="{83E866F4-95B8-4502-9673-DDE4C0B0EB69}"/>
    <cellStyle name="RISKrtandbEdge 7 3 11 2" xfId="10087" xr:uid="{A366E473-EF67-497D-BBCB-74CEF5ACBD06}"/>
    <cellStyle name="RISKrtandbEdge 7 3 12" xfId="7206" xr:uid="{A370381A-5443-4C63-A24C-2AE6FA192DDE}"/>
    <cellStyle name="RISKrtandbEdge 7 3 12 2" xfId="10345" xr:uid="{D6400C9D-7306-4C77-A3B0-DF66E102FBFB}"/>
    <cellStyle name="RISKrtandbEdge 7 3 13" xfId="7545" xr:uid="{24F07DD3-7FCB-4977-BEDB-5FBF98FE2A55}"/>
    <cellStyle name="RISKrtandbEdge 7 3 13 2" xfId="10679" xr:uid="{0C8CB82E-DBE4-4BE2-96CE-7D70AF74ABD6}"/>
    <cellStyle name="RISKrtandbEdge 7 3 14" xfId="7683" xr:uid="{33AA0DD8-CC2A-4E2A-A6DC-345E25C5F404}"/>
    <cellStyle name="RISKrtandbEdge 7 3 14 2" xfId="10816" xr:uid="{18F02FC3-B469-485B-9D02-EF6A3890ECF6}"/>
    <cellStyle name="RISKrtandbEdge 7 3 15" xfId="4567" xr:uid="{673B3FB3-07D6-4144-BD25-BEC69F0BA925}"/>
    <cellStyle name="RISKrtandbEdge 7 3 16" xfId="7787" xr:uid="{D66457AC-7726-44ED-AE3E-A65E7FE82A06}"/>
    <cellStyle name="RISKrtandbEdge 7 3 17" xfId="11069" xr:uid="{1A86AF38-353C-49A2-BA2B-36DF56D593B5}"/>
    <cellStyle name="RISKrtandbEdge 7 3 18" xfId="11485" xr:uid="{E0CDE872-53C4-4FF0-A1C8-6D65F6A8E2A5}"/>
    <cellStyle name="RISKrtandbEdge 7 3 19" xfId="11634" xr:uid="{920126B2-CF1D-417E-AD9E-18F4784635B6}"/>
    <cellStyle name="RISKrtandbEdge 7 3 2" xfId="1352" xr:uid="{00000000-0005-0000-0000-000090060000}"/>
    <cellStyle name="RISKrtandbEdge 7 3 2 2" xfId="3463" xr:uid="{3A1E62C1-5E3D-40FE-AF2A-F25D82372C13}"/>
    <cellStyle name="RISKrtandbEdge 7 3 2 3" xfId="4769" xr:uid="{778DD47B-0733-4725-83EB-8872ED76B230}"/>
    <cellStyle name="RISKrtandbEdge 7 3 2 4" xfId="7979" xr:uid="{D7E0D465-FC86-4C5C-BC92-2099C52141FC}"/>
    <cellStyle name="RISKrtandbEdge 7 3 20" xfId="11753" xr:uid="{B77C03C2-44A1-4F11-8734-C5B8CA1F7ADD}"/>
    <cellStyle name="RISKrtandbEdge 7 3 21" xfId="11943" xr:uid="{82BA0108-6A55-4DA9-9CCE-F0EEA8F51299}"/>
    <cellStyle name="RISKrtandbEdge 7 3 22" xfId="12180" xr:uid="{68D6C249-0DE6-48DC-A37F-3148E82E189D}"/>
    <cellStyle name="RISKrtandbEdge 7 3 23" xfId="12637" xr:uid="{1C6542F9-0717-4BF2-B4F2-2128B6805BC3}"/>
    <cellStyle name="RISKrtandbEdge 7 3 24" xfId="12787" xr:uid="{F3786308-C63E-45AF-B4FC-3485E88D21AB}"/>
    <cellStyle name="RISKrtandbEdge 7 3 25" xfId="12928" xr:uid="{B7EBA828-73E2-4A86-8E1E-2024DFD55BF0}"/>
    <cellStyle name="RISKrtandbEdge 7 3 26" xfId="13290" xr:uid="{78BBBBB6-4078-4610-8C61-45C3368A1814}"/>
    <cellStyle name="RISKrtandbEdge 7 3 27" xfId="13419" xr:uid="{B0FAE07A-68F6-440C-9B15-F9D487FAB516}"/>
    <cellStyle name="RISKrtandbEdge 7 3 3" xfId="1586" xr:uid="{00000000-0005-0000-0000-000091060000}"/>
    <cellStyle name="RISKrtandbEdge 7 3 3 2" xfId="3687" xr:uid="{E0E2C6B2-2AE1-473B-93D5-FE2AA446ED5D}"/>
    <cellStyle name="RISKrtandbEdge 7 3 3 3" xfId="4995" xr:uid="{29B8E3A2-4252-4FEC-A148-A0A5224B1842}"/>
    <cellStyle name="RISKrtandbEdge 7 3 3 4" xfId="8202" xr:uid="{BF35C29E-879B-43FC-9F72-90DC4D3B2DAB}"/>
    <cellStyle name="RISKrtandbEdge 7 3 4" xfId="1843" xr:uid="{00000000-0005-0000-0000-000092060000}"/>
    <cellStyle name="RISKrtandbEdge 7 3 4 2" xfId="3943" xr:uid="{9F803248-4903-4DD0-9116-4F6427A39E5A}"/>
    <cellStyle name="RISKrtandbEdge 7 3 4 3" xfId="5247" xr:uid="{8B80C5B8-8A09-44B7-9D62-C073CEC2B2B4}"/>
    <cellStyle name="RISKrtandbEdge 7 3 4 4" xfId="8441" xr:uid="{871B01EB-3C54-41D8-AA4E-FA4A6520FD2A}"/>
    <cellStyle name="RISKrtandbEdge 7 3 5" xfId="2097" xr:uid="{00000000-0005-0000-0000-000093060000}"/>
    <cellStyle name="RISKrtandbEdge 7 3 5 2" xfId="4187" xr:uid="{9C611453-4652-43DB-8632-53ABB8B287E1}"/>
    <cellStyle name="RISKrtandbEdge 7 3 5 3" xfId="5485" xr:uid="{C13EF201-DC5B-4E6A-8BB9-B740C6987CAC}"/>
    <cellStyle name="RISKrtandbEdge 7 3 5 4" xfId="8677" xr:uid="{F1EEFCC9-142F-4CD2-8852-BE0924224FE6}"/>
    <cellStyle name="RISKrtandbEdge 7 3 6" xfId="2339" xr:uid="{76C54B90-10BB-4E64-9BF6-1932509E5AA3}"/>
    <cellStyle name="RISKrtandbEdge 7 3 6 2" xfId="5721" xr:uid="{6DD0CF79-93D6-44D5-930A-D139FA7E2027}"/>
    <cellStyle name="RISKrtandbEdge 7 3 6 3" xfId="8913" xr:uid="{5ECFDB18-61EF-42F8-A2D0-E90280070B9E}"/>
    <cellStyle name="RISKrtandbEdge 7 3 7" xfId="2575" xr:uid="{8C6E997F-00AE-4463-A0BD-7BABC8709939}"/>
    <cellStyle name="RISKrtandbEdge 7 3 7 2" xfId="5951" xr:uid="{71B44F1D-7A2B-444E-8F2C-A4E951389979}"/>
    <cellStyle name="RISKrtandbEdge 7 3 7 3" xfId="9143" xr:uid="{2E09444E-3B78-4AD7-B483-DA65CB943C2B}"/>
    <cellStyle name="RISKrtandbEdge 7 3 8" xfId="2814" xr:uid="{9EF60870-1997-4544-BF2A-CF9F0486B1D4}"/>
    <cellStyle name="RISKrtandbEdge 7 3 8 2" xfId="6184" xr:uid="{58D156B2-29D9-4E4E-B662-DAE655585882}"/>
    <cellStyle name="RISKrtandbEdge 7 3 8 3" xfId="9373" xr:uid="{CC049FAA-14A4-49D6-8FD6-B4DB59CEAAAF}"/>
    <cellStyle name="RISKrtandbEdge 7 3 9" xfId="3034" xr:uid="{7B2CE7A5-BCFD-47A1-A696-637D38AF2244}"/>
    <cellStyle name="RISKrtandbEdge 7 3 9 2" xfId="6417" xr:uid="{7BD9A2AB-1B44-4F36-A7D7-55E0F96EDDCB}"/>
    <cellStyle name="RISKrtandbEdge 7 3 9 3" xfId="9603" xr:uid="{95268FA0-1EB5-4346-AD04-3908449BF1C6}"/>
    <cellStyle name="RISKrtandbEdge 7 4" xfId="1350" xr:uid="{00000000-0005-0000-0000-000094060000}"/>
    <cellStyle name="RISKrtandbEdge 7 4 2" xfId="3461" xr:uid="{C0EDB86D-45C2-4C82-809D-E09A9D6CD112}"/>
    <cellStyle name="RISKrtandbEdge 7 4 3" xfId="4767" xr:uid="{3DF3368A-BAD7-438A-95A8-13AC08B5D1DB}"/>
    <cellStyle name="RISKrtandbEdge 7 4 4" xfId="7977" xr:uid="{81154941-91D5-4777-88C2-EABEF728E713}"/>
    <cellStyle name="RISKrtandbEdge 7 5" xfId="1584" xr:uid="{00000000-0005-0000-0000-000095060000}"/>
    <cellStyle name="RISKrtandbEdge 7 5 2" xfId="3685" xr:uid="{EB08988A-937D-43AB-A5BA-CE8961C3B307}"/>
    <cellStyle name="RISKrtandbEdge 7 5 3" xfId="4993" xr:uid="{BFBDD76F-C053-4ED9-A73E-66F6FA4BC85B}"/>
    <cellStyle name="RISKrtandbEdge 7 5 4" xfId="8200" xr:uid="{CF02DA4F-C7F9-4B44-B38C-59E255958EFB}"/>
    <cellStyle name="RISKrtandbEdge 7 6" xfId="1841" xr:uid="{00000000-0005-0000-0000-000096060000}"/>
    <cellStyle name="RISKrtandbEdge 7 6 2" xfId="3941" xr:uid="{DBC4EA7F-4297-45C0-B909-AAE9623DD269}"/>
    <cellStyle name="RISKrtandbEdge 7 6 3" xfId="5245" xr:uid="{A4291A11-738E-4956-B9A6-E2165B87A131}"/>
    <cellStyle name="RISKrtandbEdge 7 6 4" xfId="8439" xr:uid="{7C929B1E-5B25-489E-9BDF-43E614699E05}"/>
    <cellStyle name="RISKrtandbEdge 7 7" xfId="2095" xr:uid="{00000000-0005-0000-0000-000097060000}"/>
    <cellStyle name="RISKrtandbEdge 7 7 2" xfId="4185" xr:uid="{9C917657-0EED-438C-B7E0-C699B7B67FF4}"/>
    <cellStyle name="RISKrtandbEdge 7 7 3" xfId="5483" xr:uid="{5383F07F-F87C-4A7D-97FC-64894F092958}"/>
    <cellStyle name="RISKrtandbEdge 7 7 4" xfId="8675" xr:uid="{EAEF4BFB-F7DB-4AAC-867B-8CF46D56D5EE}"/>
    <cellStyle name="RISKrtandbEdge 7 8" xfId="2337" xr:uid="{335A0A9B-304B-4172-A9EB-7AD74B635D80}"/>
    <cellStyle name="RISKrtandbEdge 7 8 2" xfId="5719" xr:uid="{28F58525-AE0A-45E9-8E2A-B198755FB89D}"/>
    <cellStyle name="RISKrtandbEdge 7 8 3" xfId="8911" xr:uid="{0A6B8862-78B1-4B20-BD09-E2327E5F5D23}"/>
    <cellStyle name="RISKrtandbEdge 7 9" xfId="2573" xr:uid="{2556CDEB-BBF5-4880-8294-4B94E7D42628}"/>
    <cellStyle name="RISKrtandbEdge 7 9 2" xfId="5949" xr:uid="{0338A0D5-BBEB-4E6C-BA0D-6A1F51693547}"/>
    <cellStyle name="RISKrtandbEdge 7 9 3" xfId="9141" xr:uid="{2E3DFCF6-5E32-44A7-8CA5-D83EA1FC0FC3}"/>
    <cellStyle name="RISKrtandbEdge 8" xfId="1071" xr:uid="{00000000-0005-0000-0000-000098060000}"/>
    <cellStyle name="RISKrtandbEdge 8 10" xfId="3262" xr:uid="{07F6149F-3A65-41DC-8E31-C32CFA557346}"/>
    <cellStyle name="RISKrtandbEdge 8 10 2" xfId="6681" xr:uid="{D45C1BA6-EA1E-42A8-919E-2708DA6E01E1}"/>
    <cellStyle name="RISKrtandbEdge 8 10 3" xfId="9846" xr:uid="{E45ECB23-3C6C-46B6-A41E-0BF6A7923006}"/>
    <cellStyle name="RISKrtandbEdge 8 11" xfId="6943" xr:uid="{A24048F7-CEBD-4600-A13C-CB5FD86BAFC8}"/>
    <cellStyle name="RISKrtandbEdge 8 11 2" xfId="10088" xr:uid="{9B92BDEC-A7B7-44C8-953A-0B2DB8B2CC22}"/>
    <cellStyle name="RISKrtandbEdge 8 12" xfId="7207" xr:uid="{C5D560AC-B74D-4825-A79E-A7E553A43D12}"/>
    <cellStyle name="RISKrtandbEdge 8 12 2" xfId="10346" xr:uid="{AA61B750-E151-4DE2-A436-5508C235F6DA}"/>
    <cellStyle name="RISKrtandbEdge 8 13" xfId="7546" xr:uid="{76C8611A-380A-4B2A-BEEE-CCD85C4E63E2}"/>
    <cellStyle name="RISKrtandbEdge 8 13 2" xfId="10680" xr:uid="{5FB82D09-E99D-45E0-83EA-94B301B6FCCA}"/>
    <cellStyle name="RISKrtandbEdge 8 14" xfId="7684" xr:uid="{C35F8BFA-635A-405B-AA5D-A3DB70BAC5F4}"/>
    <cellStyle name="RISKrtandbEdge 8 14 2" xfId="10817" xr:uid="{68D34D6C-22B1-488E-8318-B96F98F36DE1}"/>
    <cellStyle name="RISKrtandbEdge 8 15" xfId="4568" xr:uid="{B0B2B943-BF48-4EC8-8834-56745909C0F2}"/>
    <cellStyle name="RISKrtandbEdge 8 16" xfId="7788" xr:uid="{9623FFF9-7772-4BA0-85C2-A36679E0A3BE}"/>
    <cellStyle name="RISKrtandbEdge 8 17" xfId="11070" xr:uid="{539D4384-AE3B-46D4-8B2D-10C4059B4C0A}"/>
    <cellStyle name="RISKrtandbEdge 8 18" xfId="11486" xr:uid="{356B8BA3-2920-48FA-801E-8F6D27CA6D6E}"/>
    <cellStyle name="RISKrtandbEdge 8 19" xfId="11635" xr:uid="{22F647E6-0093-4A46-B2CD-139779DAE583}"/>
    <cellStyle name="RISKrtandbEdge 8 2" xfId="1353" xr:uid="{00000000-0005-0000-0000-000099060000}"/>
    <cellStyle name="RISKrtandbEdge 8 2 2" xfId="3464" xr:uid="{B99C509A-2759-4A71-9CE7-512592C995F9}"/>
    <cellStyle name="RISKrtandbEdge 8 2 3" xfId="4770" xr:uid="{67A36932-11DF-47F7-82C8-A62615840D13}"/>
    <cellStyle name="RISKrtandbEdge 8 2 4" xfId="7980" xr:uid="{88DFE513-632A-4E51-B01B-CE6DF5F32895}"/>
    <cellStyle name="RISKrtandbEdge 8 20" xfId="11754" xr:uid="{82937E30-3F6F-4D60-B571-B8C180EE5991}"/>
    <cellStyle name="RISKrtandbEdge 8 21" xfId="11944" xr:uid="{D10745C3-4120-4B1E-8314-D2942591D7F8}"/>
    <cellStyle name="RISKrtandbEdge 8 22" xfId="12181" xr:uid="{A40CCBCE-729B-44F6-B5F7-F70D286A8114}"/>
    <cellStyle name="RISKrtandbEdge 8 23" xfId="12638" xr:uid="{047CB48D-84CB-4447-A74F-0DD5D1C76F37}"/>
    <cellStyle name="RISKrtandbEdge 8 24" xfId="12788" xr:uid="{475D25A4-0E87-40A2-A7D5-ABA085DF6D7B}"/>
    <cellStyle name="RISKrtandbEdge 8 25" xfId="12929" xr:uid="{9ECE98F6-767B-4B29-BE4F-247E5FA73716}"/>
    <cellStyle name="RISKrtandbEdge 8 26" xfId="13291" xr:uid="{C1868999-DB05-4ACC-9E48-43F46A56B6CF}"/>
    <cellStyle name="RISKrtandbEdge 8 27" xfId="13420" xr:uid="{1A72307A-1D99-478B-9939-E39DDE85E1D7}"/>
    <cellStyle name="RISKrtandbEdge 8 3" xfId="1587" xr:uid="{00000000-0005-0000-0000-00009A060000}"/>
    <cellStyle name="RISKrtandbEdge 8 3 2" xfId="3688" xr:uid="{AF0FA49F-CC1E-4EC0-88C9-F95D07C4F627}"/>
    <cellStyle name="RISKrtandbEdge 8 3 3" xfId="4996" xr:uid="{8661882B-39EA-444A-8DBE-815F163E7F6C}"/>
    <cellStyle name="RISKrtandbEdge 8 3 4" xfId="8203" xr:uid="{C513B742-1404-4098-9A6C-51E457EE3C57}"/>
    <cellStyle name="RISKrtandbEdge 8 4" xfId="1844" xr:uid="{00000000-0005-0000-0000-00009B060000}"/>
    <cellStyle name="RISKrtandbEdge 8 4 2" xfId="3944" xr:uid="{22CA4B7E-BE91-4764-BDA0-DCFB165048C1}"/>
    <cellStyle name="RISKrtandbEdge 8 4 3" xfId="5248" xr:uid="{93908AA8-A0C1-421A-B57D-43CB679AB6C2}"/>
    <cellStyle name="RISKrtandbEdge 8 4 4" xfId="8442" xr:uid="{D43EC923-F670-4FCA-810A-0FE9662B5E08}"/>
    <cellStyle name="RISKrtandbEdge 8 5" xfId="2098" xr:uid="{00000000-0005-0000-0000-00009C060000}"/>
    <cellStyle name="RISKrtandbEdge 8 5 2" xfId="4188" xr:uid="{B6BC590A-DFF9-4210-9749-0118667045B8}"/>
    <cellStyle name="RISKrtandbEdge 8 5 3" xfId="5486" xr:uid="{1D3767A1-F735-445A-89C2-EA0602693639}"/>
    <cellStyle name="RISKrtandbEdge 8 5 4" xfId="8678" xr:uid="{7780B1E8-1A8D-485B-8FDA-CC9649FFD154}"/>
    <cellStyle name="RISKrtandbEdge 8 6" xfId="2340" xr:uid="{C62ED7BC-B0FF-4F2A-A9CA-63955FAE631F}"/>
    <cellStyle name="RISKrtandbEdge 8 6 2" xfId="5722" xr:uid="{3504A3C6-9CD3-4FD0-B9B8-6040377F1335}"/>
    <cellStyle name="RISKrtandbEdge 8 6 3" xfId="8914" xr:uid="{7C44613B-4457-435E-BD2C-79CFB93770AE}"/>
    <cellStyle name="RISKrtandbEdge 8 7" xfId="2576" xr:uid="{E65E1918-7D3B-4744-A645-C233B5EDAD4F}"/>
    <cellStyle name="RISKrtandbEdge 8 7 2" xfId="5952" xr:uid="{57386404-2FD4-4823-A743-F90B17555F8E}"/>
    <cellStyle name="RISKrtandbEdge 8 7 3" xfId="9144" xr:uid="{D70164E2-0FE3-41D0-8F7F-8BDB2CB03BFF}"/>
    <cellStyle name="RISKrtandbEdge 8 8" xfId="2815" xr:uid="{04EE4C1E-3D91-49EB-934E-E7AC79D3F33F}"/>
    <cellStyle name="RISKrtandbEdge 8 8 2" xfId="6185" xr:uid="{7A244AD7-628B-4D84-9B46-82C77BAD6EFC}"/>
    <cellStyle name="RISKrtandbEdge 8 8 3" xfId="9374" xr:uid="{2D507ADC-518A-4E25-94E0-AA10A465A169}"/>
    <cellStyle name="RISKrtandbEdge 8 9" xfId="3035" xr:uid="{850EC401-C16B-4BD7-BD6A-2984C4020269}"/>
    <cellStyle name="RISKrtandbEdge 8 9 2" xfId="6418" xr:uid="{AE69838A-9B33-474F-9498-779621C9C6B2}"/>
    <cellStyle name="RISKrtandbEdge 8 9 3" xfId="9604" xr:uid="{FDFE1EAF-4011-410B-A42E-480B04AE40BC}"/>
    <cellStyle name="RISKrtandbEdge 9" xfId="1339" xr:uid="{00000000-0005-0000-0000-00009D060000}"/>
    <cellStyle name="RISKrtandbEdge 9 2" xfId="3450" xr:uid="{5095FB2A-6BCB-42D3-ABFC-6D6BB2565E9A}"/>
    <cellStyle name="RISKrtandbEdge 9 3" xfId="4756" xr:uid="{90050592-C827-4995-B566-8194C68446F3}"/>
    <cellStyle name="RISKrtandbEdge 9 4" xfId="7966" xr:uid="{40E185C5-5DB1-42D4-B124-57323E20EC02}"/>
    <cellStyle name="RISKssTime" xfId="1072" xr:uid="{00000000-0005-0000-0000-00009E060000}"/>
    <cellStyle name="RISKssTime 2" xfId="1073" xr:uid="{00000000-0005-0000-0000-00009F060000}"/>
    <cellStyle name="RISKssTime 3" xfId="1074" xr:uid="{00000000-0005-0000-0000-0000A0060000}"/>
    <cellStyle name="RISKssTime 4" xfId="1075" xr:uid="{00000000-0005-0000-0000-0000A1060000}"/>
    <cellStyle name="RISKssTime 5" xfId="1076" xr:uid="{00000000-0005-0000-0000-0000A2060000}"/>
    <cellStyle name="RISKssTime 6" xfId="1077" xr:uid="{00000000-0005-0000-0000-0000A3060000}"/>
    <cellStyle name="RISKssTime 7" xfId="1078" xr:uid="{00000000-0005-0000-0000-0000A4060000}"/>
    <cellStyle name="RISKssTime 7 2" xfId="1079" xr:uid="{00000000-0005-0000-0000-0000A5060000}"/>
    <cellStyle name="RISKtandbEdge" xfId="1080" xr:uid="{00000000-0005-0000-0000-0000A6060000}"/>
    <cellStyle name="RISKtandbEdge 10" xfId="1845" xr:uid="{00000000-0005-0000-0000-0000A7060000}"/>
    <cellStyle name="RISKtandbEdge 10 2" xfId="3945" xr:uid="{8E58D563-DE1C-43F8-B81F-3D30B03DB61F}"/>
    <cellStyle name="RISKtandbEdge 10 3" xfId="5249" xr:uid="{AE569613-EB00-4EFA-9388-C9E21A667448}"/>
    <cellStyle name="RISKtandbEdge 10 4" xfId="8443" xr:uid="{E7A55FEC-31AD-4C43-A453-9643FC9FA2EC}"/>
    <cellStyle name="RISKtandbEdge 11" xfId="2099" xr:uid="{00000000-0005-0000-0000-0000A8060000}"/>
    <cellStyle name="RISKtandbEdge 11 2" xfId="4189" xr:uid="{3E0F3CE8-A57F-47DF-A577-7DEC61C80A79}"/>
    <cellStyle name="RISKtandbEdge 11 3" xfId="5487" xr:uid="{8797A06C-6EA1-4011-A769-A1B34E4C195C}"/>
    <cellStyle name="RISKtandbEdge 11 4" xfId="8679" xr:uid="{F730D773-9F95-4B30-855D-A72BD3E07A61}"/>
    <cellStyle name="RISKtandbEdge 12" xfId="2341" xr:uid="{D78F7919-8BB3-409A-9BF8-87AC017E29C7}"/>
    <cellStyle name="RISKtandbEdge 12 2" xfId="5723" xr:uid="{98A668EC-F909-40C6-BE48-B4A5621530B3}"/>
    <cellStyle name="RISKtandbEdge 12 3" xfId="8915" xr:uid="{44FCA3B1-D9E6-40CB-8697-040FC8E65675}"/>
    <cellStyle name="RISKtandbEdge 13" xfId="2577" xr:uid="{1EBD4B85-761E-49FB-97F3-455EECC6A6E9}"/>
    <cellStyle name="RISKtandbEdge 13 2" xfId="5953" xr:uid="{C38F5776-A0B9-4EC9-B1AB-0FD13A2B0390}"/>
    <cellStyle name="RISKtandbEdge 13 3" xfId="9145" xr:uid="{4C70E89C-8E50-4FFB-B1FF-A90F37995823}"/>
    <cellStyle name="RISKtandbEdge 14" xfId="2816" xr:uid="{765A9441-BD99-466B-A787-617150B635E3}"/>
    <cellStyle name="RISKtandbEdge 14 2" xfId="6186" xr:uid="{874C8BBD-B54B-4A60-9058-EEFD8F119505}"/>
    <cellStyle name="RISKtandbEdge 14 3" xfId="9375" xr:uid="{01BAB35B-1327-4100-BC3F-30E305642554}"/>
    <cellStyle name="RISKtandbEdge 15" xfId="3263" xr:uid="{42968524-1DCF-4476-B49D-EC0645B76B15}"/>
    <cellStyle name="RISKtandbEdge 15 2" xfId="6419" xr:uid="{D5398BE2-941F-4EB6-A3C6-E24E2DAE1000}"/>
    <cellStyle name="RISKtandbEdge 15 3" xfId="9605" xr:uid="{A0C506E6-6AA3-4A3E-8A70-9426753F3A1A}"/>
    <cellStyle name="RISKtandbEdge 16" xfId="6682" xr:uid="{0E2C93A2-BDA7-4623-B94F-62A8F9B4A8AC}"/>
    <cellStyle name="RISKtandbEdge 16 2" xfId="9847" xr:uid="{A8D3A76A-47A7-4EDF-A8AA-E2B252BDE83C}"/>
    <cellStyle name="RISKtandbEdge 17" xfId="6944" xr:uid="{BE47020F-5594-445D-9EAE-3DEB115CDC59}"/>
    <cellStyle name="RISKtandbEdge 17 2" xfId="10089" xr:uid="{61798D1E-EE85-42B9-95C9-81038E0FD7F6}"/>
    <cellStyle name="RISKtandbEdge 18" xfId="7047" xr:uid="{FF9D1F2B-ACF4-41DA-8D38-D8DB4BD3FA44}"/>
    <cellStyle name="RISKtandbEdge 18 2" xfId="10192" xr:uid="{970135AE-E62F-4973-BFAE-A16ACF2EE1F8}"/>
    <cellStyle name="RISKtandbEdge 19" xfId="7547" xr:uid="{FD5A65B4-DA9F-47DD-8ADF-6D837CD2281F}"/>
    <cellStyle name="RISKtandbEdge 19 2" xfId="10681" xr:uid="{CFB3200B-7684-4B05-99EC-EA2E2D34DB37}"/>
    <cellStyle name="RISKtandbEdge 2" xfId="1081" xr:uid="{00000000-0005-0000-0000-0000A9060000}"/>
    <cellStyle name="RISKtandbEdge 2 10" xfId="6683" xr:uid="{5C9102A9-0A9A-4F46-B2CA-6D63D8FB9D05}"/>
    <cellStyle name="RISKtandbEdge 2 10 2" xfId="9848" xr:uid="{07E5317C-AD53-46CF-BAD3-7B0F85B63E38}"/>
    <cellStyle name="RISKtandbEdge 2 11" xfId="6945" xr:uid="{5251C31E-ED08-487C-A334-163846D07666}"/>
    <cellStyle name="RISKtandbEdge 2 11 2" xfId="10090" xr:uid="{9BD66387-FC29-43B9-AEF0-3ADF11DCA984}"/>
    <cellStyle name="RISKtandbEdge 2 12" xfId="7048" xr:uid="{E8DC067B-EA84-426E-9B02-4715B7987CE3}"/>
    <cellStyle name="RISKtandbEdge 2 12 2" xfId="10193" xr:uid="{A34D6C51-F7EC-4C95-A9EE-EB36A34D58D7}"/>
    <cellStyle name="RISKtandbEdge 2 13" xfId="7548" xr:uid="{F35964F3-6210-4190-BFCF-3F2622A02886}"/>
    <cellStyle name="RISKtandbEdge 2 13 2" xfId="10682" xr:uid="{1A0044D5-33A6-42C7-AF61-AC327F831F9D}"/>
    <cellStyle name="RISKtandbEdge 2 14" xfId="7686" xr:uid="{68EC3DCC-FB21-4461-8B35-FCB59D7F25B4}"/>
    <cellStyle name="RISKtandbEdge 2 14 2" xfId="10819" xr:uid="{B72DC07D-FF29-4CB7-B090-B4819E621880}"/>
    <cellStyle name="RISKtandbEdge 2 15" xfId="4570" xr:uid="{4286BB57-8E47-4E7E-AB4A-C04816B12A2B}"/>
    <cellStyle name="RISKtandbEdge 2 16" xfId="7790" xr:uid="{548096B6-38C8-4312-A2A2-FB824982BE98}"/>
    <cellStyle name="RISKtandbEdge 2 17" xfId="11072" xr:uid="{BAF99E4D-018E-4014-B1D6-6210C3B84A00}"/>
    <cellStyle name="RISKtandbEdge 2 18" xfId="11488" xr:uid="{EEAD955D-57AA-4E48-83CB-8743A15C32E6}"/>
    <cellStyle name="RISKtandbEdge 2 19" xfId="11637" xr:uid="{92F44216-B9A5-4DF0-A3F9-88751C78B986}"/>
    <cellStyle name="RISKtandbEdge 2 2" xfId="1082" xr:uid="{00000000-0005-0000-0000-0000AA060000}"/>
    <cellStyle name="RISKtandbEdge 2 2 10" xfId="6946" xr:uid="{DF2452CB-395D-48E8-884A-8059C8138C9C}"/>
    <cellStyle name="RISKtandbEdge 2 2 10 2" xfId="10091" xr:uid="{59892D84-96B3-493D-8596-A54646CDE389}"/>
    <cellStyle name="RISKtandbEdge 2 2 11" xfId="7049" xr:uid="{BF5B242C-980F-43E3-8836-7381B491064B}"/>
    <cellStyle name="RISKtandbEdge 2 2 11 2" xfId="10194" xr:uid="{C7C07777-F884-4EED-B228-65D2372E42FB}"/>
    <cellStyle name="RISKtandbEdge 2 2 12" xfId="7549" xr:uid="{9875A1AA-5307-4B7C-B32C-0D2D825A6C04}"/>
    <cellStyle name="RISKtandbEdge 2 2 12 2" xfId="10683" xr:uid="{CF6C4D13-687E-41C8-AD1B-61337DA5D9DE}"/>
    <cellStyle name="RISKtandbEdge 2 2 13" xfId="7687" xr:uid="{A2B154A4-FFF0-42A6-ACA7-088D65D1A2C8}"/>
    <cellStyle name="RISKtandbEdge 2 2 13 2" xfId="10820" xr:uid="{E69ACA76-8FFD-4441-B8EA-EEDB3F96EF39}"/>
    <cellStyle name="RISKtandbEdge 2 2 14" xfId="4571" xr:uid="{218865B9-AF09-4937-90A5-873E3542B921}"/>
    <cellStyle name="RISKtandbEdge 2 2 15" xfId="7791" xr:uid="{E1E067DC-36DD-4B9D-A54B-40357AA20A2B}"/>
    <cellStyle name="RISKtandbEdge 2 2 16" xfId="11073" xr:uid="{4438F941-92DE-4A03-AC06-722E03F4A221}"/>
    <cellStyle name="RISKtandbEdge 2 2 17" xfId="11489" xr:uid="{F8FE11E8-DC19-4059-ABD2-052DE16B0801}"/>
    <cellStyle name="RISKtandbEdge 2 2 18" xfId="11638" xr:uid="{91A609EA-2388-4761-980B-B66A9EEA90DC}"/>
    <cellStyle name="RISKtandbEdge 2 2 19" xfId="11757" xr:uid="{7CC324B1-2211-4FD3-A3A5-28A5C1EC8968}"/>
    <cellStyle name="RISKtandbEdge 2 2 2" xfId="1590" xr:uid="{00000000-0005-0000-0000-0000AB060000}"/>
    <cellStyle name="RISKtandbEdge 2 2 2 2" xfId="3691" xr:uid="{48BD80C0-214B-4E94-9797-907CEDBFF388}"/>
    <cellStyle name="RISKtandbEdge 2 2 2 3" xfId="4999" xr:uid="{9BA2746D-F755-46D1-874A-A294F1CD71C1}"/>
    <cellStyle name="RISKtandbEdge 2 2 2 4" xfId="8206" xr:uid="{AB638033-B357-469E-B3F6-766EAED79FC1}"/>
    <cellStyle name="RISKtandbEdge 2 2 20" xfId="12184" xr:uid="{BA10A758-07F3-4A31-8D7B-50AE7D0AF2A0}"/>
    <cellStyle name="RISKtandbEdge 2 2 21" xfId="12791" xr:uid="{7035C0A4-4742-4B05-B1F8-978FF35FFFA9}"/>
    <cellStyle name="RISKtandbEdge 2 2 22" xfId="12932" xr:uid="{4C0C1AB2-F697-458D-AECC-CDF2CB9950C7}"/>
    <cellStyle name="RISKtandbEdge 2 2 23" xfId="13294" xr:uid="{8D6EC9CC-688C-4B38-A585-299F8B97CE9C}"/>
    <cellStyle name="RISKtandbEdge 2 2 24" xfId="13423" xr:uid="{6DBD038E-BAA2-4899-9C41-2A411ACB714E}"/>
    <cellStyle name="RISKtandbEdge 2 2 3" xfId="1847" xr:uid="{00000000-0005-0000-0000-0000AC060000}"/>
    <cellStyle name="RISKtandbEdge 2 2 3 2" xfId="3947" xr:uid="{ADFF113A-11F4-4A5C-A939-477B0BC67AFD}"/>
    <cellStyle name="RISKtandbEdge 2 2 3 3" xfId="5251" xr:uid="{7FAC788A-FFB1-416D-97E3-309BE1FB0D3E}"/>
    <cellStyle name="RISKtandbEdge 2 2 3 4" xfId="8445" xr:uid="{658E362D-FD60-4817-8CE4-F450921543D1}"/>
    <cellStyle name="RISKtandbEdge 2 2 4" xfId="2101" xr:uid="{00000000-0005-0000-0000-0000AD060000}"/>
    <cellStyle name="RISKtandbEdge 2 2 4 2" xfId="4191" xr:uid="{6E0E86D1-A5CB-4A4F-B47E-722F0CE214DA}"/>
    <cellStyle name="RISKtandbEdge 2 2 4 3" xfId="5489" xr:uid="{9B66A3EE-CBE9-468F-9D7A-28AEAD9867BD}"/>
    <cellStyle name="RISKtandbEdge 2 2 4 4" xfId="8681" xr:uid="{11FFEC10-A444-40C7-820E-D3862ECD151D}"/>
    <cellStyle name="RISKtandbEdge 2 2 5" xfId="2343" xr:uid="{1C9C8516-8D42-490D-B40D-EB6BFB7CC385}"/>
    <cellStyle name="RISKtandbEdge 2 2 5 2" xfId="5725" xr:uid="{464C579D-5D63-4E39-901C-591515ACDC07}"/>
    <cellStyle name="RISKtandbEdge 2 2 5 3" xfId="8917" xr:uid="{52659482-539D-4423-BC9F-23F08D9DB71C}"/>
    <cellStyle name="RISKtandbEdge 2 2 6" xfId="2579" xr:uid="{FAEB22ED-88FC-4267-8D8C-B3322CD6FF00}"/>
    <cellStyle name="RISKtandbEdge 2 2 6 2" xfId="5955" xr:uid="{57082A8E-7560-4703-878B-4A25E17C03FD}"/>
    <cellStyle name="RISKtandbEdge 2 2 6 3" xfId="9147" xr:uid="{71A41202-8B9F-421C-B6A8-F7BD068A1B36}"/>
    <cellStyle name="RISKtandbEdge 2 2 7" xfId="2818" xr:uid="{91AF5ADF-C8A9-44C6-936D-6216D2D069BB}"/>
    <cellStyle name="RISKtandbEdge 2 2 7 2" xfId="6188" xr:uid="{85BFCDCA-705A-4605-BAC3-0350BCE21FC5}"/>
    <cellStyle name="RISKtandbEdge 2 2 7 3" xfId="9377" xr:uid="{CAAA4677-5E75-4561-92A3-C5CA467CAAE0}"/>
    <cellStyle name="RISKtandbEdge 2 2 8" xfId="3265" xr:uid="{EA098ABC-B60D-4AB7-B8FD-7D29F20D65E1}"/>
    <cellStyle name="RISKtandbEdge 2 2 8 2" xfId="6421" xr:uid="{E9D30AB5-68A2-4E78-98E8-D05791EC9792}"/>
    <cellStyle name="RISKtandbEdge 2 2 8 3" xfId="9607" xr:uid="{D60DC95D-7D29-4DC7-A2FA-9FCAA1EEA319}"/>
    <cellStyle name="RISKtandbEdge 2 2 9" xfId="6684" xr:uid="{1B00FAE9-FA1B-4FE7-9B4C-04C73DC57106}"/>
    <cellStyle name="RISKtandbEdge 2 2 9 2" xfId="9849" xr:uid="{79885787-7A60-4968-842F-4D594C4BF092}"/>
    <cellStyle name="RISKtandbEdge 2 20" xfId="11756" xr:uid="{3EBC96B6-C6B5-4197-9D6C-93C176770C6C}"/>
    <cellStyle name="RISKtandbEdge 2 21" xfId="12183" xr:uid="{BA48BAEC-1818-4208-862E-7BBBF1FDC801}"/>
    <cellStyle name="RISKtandbEdge 2 22" xfId="12790" xr:uid="{C34347C6-FC91-4DB3-B2CD-BCD39FB68D4B}"/>
    <cellStyle name="RISKtandbEdge 2 23" xfId="12931" xr:uid="{73244E46-2ED4-470A-BC4F-D55B8548418B}"/>
    <cellStyle name="RISKtandbEdge 2 24" xfId="13293" xr:uid="{9BF4595B-6861-42EB-A34E-6714D2B89E27}"/>
    <cellStyle name="RISKtandbEdge 2 25" xfId="13422" xr:uid="{8E6A1FFA-09D9-4830-B2E1-BE22DACC0899}"/>
    <cellStyle name="RISKtandbEdge 2 3" xfId="1589" xr:uid="{00000000-0005-0000-0000-0000AE060000}"/>
    <cellStyle name="RISKtandbEdge 2 3 2" xfId="3690" xr:uid="{A0013AAC-A00C-49ED-851E-667BD1D9BAB9}"/>
    <cellStyle name="RISKtandbEdge 2 3 3" xfId="4998" xr:uid="{D81D2FA1-E3DB-48F4-A36F-42F8CCD3BF0E}"/>
    <cellStyle name="RISKtandbEdge 2 3 4" xfId="8205" xr:uid="{DB1F9B79-CCB1-4424-B1AE-F96679B21FE4}"/>
    <cellStyle name="RISKtandbEdge 2 4" xfId="1846" xr:uid="{00000000-0005-0000-0000-0000AF060000}"/>
    <cellStyle name="RISKtandbEdge 2 4 2" xfId="3946" xr:uid="{5FB350A9-6D6C-4322-9B3A-0DE5DB46EFF5}"/>
    <cellStyle name="RISKtandbEdge 2 4 3" xfId="5250" xr:uid="{BE845738-62E5-471F-8F38-4942C43D9EE6}"/>
    <cellStyle name="RISKtandbEdge 2 4 4" xfId="8444" xr:uid="{A7CCF243-76FE-4FE6-AAAD-227990CF63E2}"/>
    <cellStyle name="RISKtandbEdge 2 5" xfId="2100" xr:uid="{00000000-0005-0000-0000-0000B0060000}"/>
    <cellStyle name="RISKtandbEdge 2 5 2" xfId="4190" xr:uid="{E49F6720-95C3-440B-B09C-526050AB5A5A}"/>
    <cellStyle name="RISKtandbEdge 2 5 3" xfId="5488" xr:uid="{912D7099-23D3-4421-8EE1-6DE95FA4AEFE}"/>
    <cellStyle name="RISKtandbEdge 2 5 4" xfId="8680" xr:uid="{A3A31635-D4A9-4906-8C69-086948BA2AEB}"/>
    <cellStyle name="RISKtandbEdge 2 6" xfId="2342" xr:uid="{10AB8EFD-7EF7-4154-83EA-0DF5086D3F58}"/>
    <cellStyle name="RISKtandbEdge 2 6 2" xfId="5724" xr:uid="{DE053A4C-B606-4FD7-893D-43CBE2319512}"/>
    <cellStyle name="RISKtandbEdge 2 6 3" xfId="8916" xr:uid="{1D7E4E71-1FC2-4DAA-8676-559A82955B04}"/>
    <cellStyle name="RISKtandbEdge 2 7" xfId="2578" xr:uid="{F90240D6-3543-453E-BB5F-BAEEE25CA191}"/>
    <cellStyle name="RISKtandbEdge 2 7 2" xfId="5954" xr:uid="{B1551EB8-3D4B-4D2C-8EB2-A44F657638C5}"/>
    <cellStyle name="RISKtandbEdge 2 7 3" xfId="9146" xr:uid="{99DA3C71-393D-4A75-BA1A-E9F9202888F3}"/>
    <cellStyle name="RISKtandbEdge 2 8" xfId="2817" xr:uid="{2163A17B-46B0-42B4-AA55-B6D124198D74}"/>
    <cellStyle name="RISKtandbEdge 2 8 2" xfId="6187" xr:uid="{E18996AC-8E0B-460C-B148-10718B9C3C72}"/>
    <cellStyle name="RISKtandbEdge 2 8 3" xfId="9376" xr:uid="{612834A2-EFE8-4075-85F4-1B20723740B5}"/>
    <cellStyle name="RISKtandbEdge 2 9" xfId="3264" xr:uid="{D8DD0B9C-2907-41BD-9EBD-35326D0A908D}"/>
    <cellStyle name="RISKtandbEdge 2 9 2" xfId="6420" xr:uid="{2C3C636E-52BD-48EA-AE83-0AD5048640CC}"/>
    <cellStyle name="RISKtandbEdge 2 9 3" xfId="9606" xr:uid="{B3B29E7E-0F3C-4BF5-8966-5FDFECD2CFC4}"/>
    <cellStyle name="RISKtandbEdge 20" xfId="7685" xr:uid="{4CC9711B-D8DA-45D1-A8AA-947E70CB54F5}"/>
    <cellStyle name="RISKtandbEdge 20 2" xfId="10818" xr:uid="{99311FAB-AD52-4938-9412-9CC3C6637017}"/>
    <cellStyle name="RISKtandbEdge 21" xfId="4569" xr:uid="{840D4D8F-0A24-40AF-891A-B79901FEB54F}"/>
    <cellStyle name="RISKtandbEdge 22" xfId="7789" xr:uid="{B413C060-FDF8-4D32-A851-CA6EC24EC50A}"/>
    <cellStyle name="RISKtandbEdge 23" xfId="11071" xr:uid="{4C728539-2374-4384-BAF5-F59AE5825D5D}"/>
    <cellStyle name="RISKtandbEdge 24" xfId="11487" xr:uid="{DB7C0EFD-2785-4359-803B-CFFB39A759D3}"/>
    <cellStyle name="RISKtandbEdge 25" xfId="11636" xr:uid="{197FD3C6-87BA-490A-AFA8-12FF1AC1B94F}"/>
    <cellStyle name="RISKtandbEdge 26" xfId="11755" xr:uid="{5BD5A1D7-89FD-4601-9BFA-52DFCD4A644C}"/>
    <cellStyle name="RISKtandbEdge 27" xfId="12182" xr:uid="{FBA455B6-79DA-4600-A69A-2DB837A8D810}"/>
    <cellStyle name="RISKtandbEdge 28" xfId="12789" xr:uid="{81B79660-8F23-4F56-B803-688C53CBA6EF}"/>
    <cellStyle name="RISKtandbEdge 29" xfId="12930" xr:uid="{07991C46-A209-4503-9707-AC7FE27B8E46}"/>
    <cellStyle name="RISKtandbEdge 3" xfId="1083" xr:uid="{00000000-0005-0000-0000-0000B1060000}"/>
    <cellStyle name="RISKtandbEdge 3 10" xfId="6685" xr:uid="{BE2EFEA4-1D5C-40E1-9EA1-4086285A483D}"/>
    <cellStyle name="RISKtandbEdge 3 10 2" xfId="9850" xr:uid="{D87025FD-2234-4256-BCAA-599717F1AC85}"/>
    <cellStyle name="RISKtandbEdge 3 11" xfId="6947" xr:uid="{ADA9500E-D68D-4095-8548-663394FEC05E}"/>
    <cellStyle name="RISKtandbEdge 3 11 2" xfId="10092" xr:uid="{FEC87FFD-8B89-4EAD-8053-71010E94A9E8}"/>
    <cellStyle name="RISKtandbEdge 3 12" xfId="7050" xr:uid="{C0303BEC-06C3-4E1D-9CA5-6B57CD6CC739}"/>
    <cellStyle name="RISKtandbEdge 3 12 2" xfId="10195" xr:uid="{BBDF5842-77C9-4704-97C9-758C07F81FBA}"/>
    <cellStyle name="RISKtandbEdge 3 13" xfId="7550" xr:uid="{20296A8B-4381-4F88-AD34-91007854FCCB}"/>
    <cellStyle name="RISKtandbEdge 3 13 2" xfId="10684" xr:uid="{E195EB4D-7ABF-47B3-B379-5AB231F0378D}"/>
    <cellStyle name="RISKtandbEdge 3 14" xfId="7688" xr:uid="{9F69E950-3815-4B8D-AAB2-45855F99C234}"/>
    <cellStyle name="RISKtandbEdge 3 14 2" xfId="10821" xr:uid="{C2899623-74DE-4253-B734-573B52933734}"/>
    <cellStyle name="RISKtandbEdge 3 15" xfId="4572" xr:uid="{27FF8A26-38F0-4F36-A419-45971BF89D96}"/>
    <cellStyle name="RISKtandbEdge 3 16" xfId="7792" xr:uid="{5D821E4B-9478-47AB-BC21-141A057A53F3}"/>
    <cellStyle name="RISKtandbEdge 3 17" xfId="11074" xr:uid="{34F086F3-76A8-49A8-A001-EAB2521780C5}"/>
    <cellStyle name="RISKtandbEdge 3 18" xfId="11490" xr:uid="{9F5A7A9F-96CA-4107-A7AC-E2A62F60E116}"/>
    <cellStyle name="RISKtandbEdge 3 19" xfId="11639" xr:uid="{8876600D-2B38-40DF-AC69-D385DF4F729C}"/>
    <cellStyle name="RISKtandbEdge 3 2" xfId="1084" xr:uid="{00000000-0005-0000-0000-0000B2060000}"/>
    <cellStyle name="RISKtandbEdge 3 2 10" xfId="6948" xr:uid="{D518448D-278E-41F0-8823-98B695CD572D}"/>
    <cellStyle name="RISKtandbEdge 3 2 10 2" xfId="10093" xr:uid="{0920B692-4375-44DB-A063-6DC365893D39}"/>
    <cellStyle name="RISKtandbEdge 3 2 11" xfId="7051" xr:uid="{C45B8AE1-F41C-4A42-AB5E-E54E123A5E02}"/>
    <cellStyle name="RISKtandbEdge 3 2 11 2" xfId="10196" xr:uid="{AE9366C6-0A92-42B9-9212-34F7215576A4}"/>
    <cellStyle name="RISKtandbEdge 3 2 12" xfId="7551" xr:uid="{2583DFFB-0717-4CDC-ABFE-0C5A8E282DA6}"/>
    <cellStyle name="RISKtandbEdge 3 2 12 2" xfId="10685" xr:uid="{CCF03623-99CB-4C1A-B55C-40D71D1DEAD7}"/>
    <cellStyle name="RISKtandbEdge 3 2 13" xfId="7689" xr:uid="{DD941097-1EEE-4224-BACC-ECD3983C11F8}"/>
    <cellStyle name="RISKtandbEdge 3 2 13 2" xfId="10822" xr:uid="{AD92CC1D-5EC1-49C6-B47F-3EEFBAEB52B7}"/>
    <cellStyle name="RISKtandbEdge 3 2 14" xfId="4573" xr:uid="{6164FC4E-B953-485F-A157-0245F47E0582}"/>
    <cellStyle name="RISKtandbEdge 3 2 15" xfId="7793" xr:uid="{89688F0C-DF56-4809-8454-3FC0853AC3C2}"/>
    <cellStyle name="RISKtandbEdge 3 2 16" xfId="11075" xr:uid="{397FDB73-1DBD-4418-8FDE-A6789C7550B9}"/>
    <cellStyle name="RISKtandbEdge 3 2 17" xfId="11491" xr:uid="{9A57F2F9-6140-4996-8F76-B775D11451DC}"/>
    <cellStyle name="RISKtandbEdge 3 2 18" xfId="11640" xr:uid="{1AEB4011-8D24-42EB-8A29-E560140E6A4D}"/>
    <cellStyle name="RISKtandbEdge 3 2 19" xfId="11759" xr:uid="{62B3BF8B-1D47-4CCB-B823-412A5FA5D3D6}"/>
    <cellStyle name="RISKtandbEdge 3 2 2" xfId="1592" xr:uid="{00000000-0005-0000-0000-0000B3060000}"/>
    <cellStyle name="RISKtandbEdge 3 2 2 2" xfId="3693" xr:uid="{9BF75604-ED59-499C-90D4-07894A260252}"/>
    <cellStyle name="RISKtandbEdge 3 2 2 3" xfId="5001" xr:uid="{31F2B983-EF64-48FF-A70F-8F51B9A4FD03}"/>
    <cellStyle name="RISKtandbEdge 3 2 2 4" xfId="8208" xr:uid="{64B87482-8382-46DC-B7FE-43D563325C9B}"/>
    <cellStyle name="RISKtandbEdge 3 2 20" xfId="12186" xr:uid="{0D0B5791-B32B-45D1-A17B-0C4AB6086DCF}"/>
    <cellStyle name="RISKtandbEdge 3 2 21" xfId="12793" xr:uid="{4A4ABE50-FEE4-4AE1-9FC0-B80ACCC8DC4B}"/>
    <cellStyle name="RISKtandbEdge 3 2 22" xfId="12934" xr:uid="{1C9A427F-26FE-4FF7-AA6A-831862BEFB66}"/>
    <cellStyle name="RISKtandbEdge 3 2 23" xfId="13296" xr:uid="{87D9CE2D-D29B-458E-A479-5E3E171919A9}"/>
    <cellStyle name="RISKtandbEdge 3 2 24" xfId="13425" xr:uid="{10872B19-70B2-471E-BEE7-7BD6C32BA709}"/>
    <cellStyle name="RISKtandbEdge 3 2 3" xfId="1849" xr:uid="{00000000-0005-0000-0000-0000B4060000}"/>
    <cellStyle name="RISKtandbEdge 3 2 3 2" xfId="3949" xr:uid="{C036B439-AEB6-405F-BDB0-7F775C983B5C}"/>
    <cellStyle name="RISKtandbEdge 3 2 3 3" xfId="5253" xr:uid="{81A33E17-1614-49A7-92A6-344E93082A95}"/>
    <cellStyle name="RISKtandbEdge 3 2 3 4" xfId="8447" xr:uid="{35572D24-32AE-4BAE-AF52-BEF81142D5E2}"/>
    <cellStyle name="RISKtandbEdge 3 2 4" xfId="2103" xr:uid="{00000000-0005-0000-0000-0000B5060000}"/>
    <cellStyle name="RISKtandbEdge 3 2 4 2" xfId="4193" xr:uid="{72E97CBA-9924-4CAC-B2B8-5D362C1C5AF2}"/>
    <cellStyle name="RISKtandbEdge 3 2 4 3" xfId="5491" xr:uid="{5354B47D-D822-45DB-B737-119BE34F1BFB}"/>
    <cellStyle name="RISKtandbEdge 3 2 4 4" xfId="8683" xr:uid="{2F363AB8-9E55-4B40-ADE4-343A97D65A0A}"/>
    <cellStyle name="RISKtandbEdge 3 2 5" xfId="2345" xr:uid="{619C9385-1226-4DBD-971C-09B850A23233}"/>
    <cellStyle name="RISKtandbEdge 3 2 5 2" xfId="5727" xr:uid="{3E1001F3-3E49-4CC1-879F-C80778CA1790}"/>
    <cellStyle name="RISKtandbEdge 3 2 5 3" xfId="8919" xr:uid="{BD553259-40E2-4D4B-943F-41CDB96CF0C9}"/>
    <cellStyle name="RISKtandbEdge 3 2 6" xfId="2581" xr:uid="{3DEE57FD-47CE-434E-A4FE-06E3FDEFA4B2}"/>
    <cellStyle name="RISKtandbEdge 3 2 6 2" xfId="5957" xr:uid="{7D0CFEAE-56E9-441C-B047-4A884241F177}"/>
    <cellStyle name="RISKtandbEdge 3 2 6 3" xfId="9149" xr:uid="{764F7734-D630-4282-8745-263ED988E0C4}"/>
    <cellStyle name="RISKtandbEdge 3 2 7" xfId="2820" xr:uid="{7BED83F9-BA0A-4C69-85AE-C17443698219}"/>
    <cellStyle name="RISKtandbEdge 3 2 7 2" xfId="6190" xr:uid="{A72AE950-B69D-4C11-A04F-636C72F72D3E}"/>
    <cellStyle name="RISKtandbEdge 3 2 7 3" xfId="9379" xr:uid="{FF94FF0C-4C03-40AC-A091-1785965D7D37}"/>
    <cellStyle name="RISKtandbEdge 3 2 8" xfId="3267" xr:uid="{EC2C6F39-9B7C-429D-8E31-B13284CEE515}"/>
    <cellStyle name="RISKtandbEdge 3 2 8 2" xfId="6423" xr:uid="{6FCB7999-7C8D-4E15-B0E9-D2DAA9328AF7}"/>
    <cellStyle name="RISKtandbEdge 3 2 8 3" xfId="9609" xr:uid="{3F4BC740-1F3F-4E30-BB01-C4BE9281DE0D}"/>
    <cellStyle name="RISKtandbEdge 3 2 9" xfId="6686" xr:uid="{5B44CB58-A302-4B3D-97E9-2547A4D527B5}"/>
    <cellStyle name="RISKtandbEdge 3 2 9 2" xfId="9851" xr:uid="{26FB8E34-AF83-4001-B4DF-47D286A5C94F}"/>
    <cellStyle name="RISKtandbEdge 3 20" xfId="11758" xr:uid="{0716B431-6B58-499D-8DC5-618D745A8701}"/>
    <cellStyle name="RISKtandbEdge 3 21" xfId="12185" xr:uid="{35083E9B-4DAB-4748-B4DF-DC2281DF07F0}"/>
    <cellStyle name="RISKtandbEdge 3 22" xfId="12792" xr:uid="{055E324C-0B86-4705-BF15-7FF39EAF6297}"/>
    <cellStyle name="RISKtandbEdge 3 23" xfId="12933" xr:uid="{8B395431-79FA-4387-BCA2-C23A45F57FD5}"/>
    <cellStyle name="RISKtandbEdge 3 24" xfId="13295" xr:uid="{8E910DDF-AD11-4723-AA71-1E0EDC436C0D}"/>
    <cellStyle name="RISKtandbEdge 3 25" xfId="13424" xr:uid="{4F297F47-9976-42B9-9D3A-9D7B4E537D58}"/>
    <cellStyle name="RISKtandbEdge 3 3" xfId="1591" xr:uid="{00000000-0005-0000-0000-0000B6060000}"/>
    <cellStyle name="RISKtandbEdge 3 3 2" xfId="3692" xr:uid="{7D8C4554-63B8-4B5B-BE2F-5A3C9455DFEF}"/>
    <cellStyle name="RISKtandbEdge 3 3 3" xfId="5000" xr:uid="{9BB4CD0F-716A-483D-A896-71F750AF03B1}"/>
    <cellStyle name="RISKtandbEdge 3 3 4" xfId="8207" xr:uid="{69C3508F-547D-42F5-BF4B-8B76B0198227}"/>
    <cellStyle name="RISKtandbEdge 3 4" xfId="1848" xr:uid="{00000000-0005-0000-0000-0000B7060000}"/>
    <cellStyle name="RISKtandbEdge 3 4 2" xfId="3948" xr:uid="{3E5DC353-3A69-470E-8036-C0CCF470F235}"/>
    <cellStyle name="RISKtandbEdge 3 4 3" xfId="5252" xr:uid="{F90211EF-8EDB-470A-9AFB-D9674E58173A}"/>
    <cellStyle name="RISKtandbEdge 3 4 4" xfId="8446" xr:uid="{D83B0343-4FB0-49BD-B0BF-5B571F224F1F}"/>
    <cellStyle name="RISKtandbEdge 3 5" xfId="2102" xr:uid="{00000000-0005-0000-0000-0000B8060000}"/>
    <cellStyle name="RISKtandbEdge 3 5 2" xfId="4192" xr:uid="{5E48E598-4455-450B-BE0E-6D1AC62A425E}"/>
    <cellStyle name="RISKtandbEdge 3 5 3" xfId="5490" xr:uid="{59B9B197-0526-4C07-BD7D-CB5F915689E7}"/>
    <cellStyle name="RISKtandbEdge 3 5 4" xfId="8682" xr:uid="{D60B8E54-47AC-48B1-B638-2CE116F604C1}"/>
    <cellStyle name="RISKtandbEdge 3 6" xfId="2344" xr:uid="{49C6A4DD-9F90-47CB-BE9B-537D8B700156}"/>
    <cellStyle name="RISKtandbEdge 3 6 2" xfId="5726" xr:uid="{800FD68F-13BF-40B2-B3C1-7DFFF2E03DC2}"/>
    <cellStyle name="RISKtandbEdge 3 6 3" xfId="8918" xr:uid="{116595AF-2126-4C30-9B70-E332DB0AE055}"/>
    <cellStyle name="RISKtandbEdge 3 7" xfId="2580" xr:uid="{A27866EC-D832-4871-AAD4-0779D7057463}"/>
    <cellStyle name="RISKtandbEdge 3 7 2" xfId="5956" xr:uid="{4BA569EB-9732-4AB5-A114-BCC40FCE4515}"/>
    <cellStyle name="RISKtandbEdge 3 7 3" xfId="9148" xr:uid="{E659296E-264A-4AE8-8D4F-D65B344CD343}"/>
    <cellStyle name="RISKtandbEdge 3 8" xfId="2819" xr:uid="{523C558C-AFE2-4233-A06C-EA252CE34ECC}"/>
    <cellStyle name="RISKtandbEdge 3 8 2" xfId="6189" xr:uid="{A5E47A31-760A-4BC5-9C29-97A0A7CC177A}"/>
    <cellStyle name="RISKtandbEdge 3 8 3" xfId="9378" xr:uid="{1B8EC7F4-49EE-47B8-8E19-5A1150AD0316}"/>
    <cellStyle name="RISKtandbEdge 3 9" xfId="3266" xr:uid="{83B32612-2E60-4535-A478-E24C00BD6090}"/>
    <cellStyle name="RISKtandbEdge 3 9 2" xfId="6422" xr:uid="{EAFB3926-42A6-4191-A16C-8754F96CE8C3}"/>
    <cellStyle name="RISKtandbEdge 3 9 3" xfId="9608" xr:uid="{B3100BB7-E1C6-4CCD-B320-A295B0E45D54}"/>
    <cellStyle name="RISKtandbEdge 30" xfId="13292" xr:uid="{A619FD84-15B5-41C0-90D3-67BB4D65C566}"/>
    <cellStyle name="RISKtandbEdge 31" xfId="13421" xr:uid="{C9E0BEA6-A5F2-49F5-BC86-3A2747672FE1}"/>
    <cellStyle name="RISKtandbEdge 4" xfId="1085" xr:uid="{00000000-0005-0000-0000-0000B9060000}"/>
    <cellStyle name="RISKtandbEdge 4 10" xfId="6687" xr:uid="{A54ED775-A32C-4D2B-8936-C76DF76E3E84}"/>
    <cellStyle name="RISKtandbEdge 4 10 2" xfId="9852" xr:uid="{62CBEFCA-7082-43AB-A45A-51F50C1E09A2}"/>
    <cellStyle name="RISKtandbEdge 4 11" xfId="6949" xr:uid="{7016E987-D5CC-4141-9C02-60E80D1B6843}"/>
    <cellStyle name="RISKtandbEdge 4 11 2" xfId="10094" xr:uid="{A6BE1C0D-DECA-4470-AF04-D562B517B524}"/>
    <cellStyle name="RISKtandbEdge 4 12" xfId="7052" xr:uid="{F7F94E1A-0EC0-4C5A-B054-670D5AC92DFA}"/>
    <cellStyle name="RISKtandbEdge 4 12 2" xfId="10197" xr:uid="{8274D18B-00B1-4383-B7FF-4A62CAB3BB8B}"/>
    <cellStyle name="RISKtandbEdge 4 13" xfId="7552" xr:uid="{3881C561-18B3-4779-BB12-7F7BFA21B67D}"/>
    <cellStyle name="RISKtandbEdge 4 13 2" xfId="10686" xr:uid="{34F332CB-BA41-40C3-AF40-8BF0FC0FC4C9}"/>
    <cellStyle name="RISKtandbEdge 4 14" xfId="7690" xr:uid="{D1981B24-7516-4486-A7EE-65243CDFF3BD}"/>
    <cellStyle name="RISKtandbEdge 4 14 2" xfId="10823" xr:uid="{F3F69E15-B821-497D-993F-9B77314A450E}"/>
    <cellStyle name="RISKtandbEdge 4 15" xfId="4574" xr:uid="{0010C213-D8D1-4157-AB01-F0882B8E3F95}"/>
    <cellStyle name="RISKtandbEdge 4 16" xfId="7794" xr:uid="{EA37B449-B2E4-4E69-9760-3E2854286775}"/>
    <cellStyle name="RISKtandbEdge 4 17" xfId="11076" xr:uid="{C38FC6BD-163E-4271-8E48-0C4CDED77E1E}"/>
    <cellStyle name="RISKtandbEdge 4 18" xfId="11492" xr:uid="{05BA6A13-AA3C-42BD-BD3A-019196004F93}"/>
    <cellStyle name="RISKtandbEdge 4 19" xfId="11641" xr:uid="{4C08CE7F-DEB5-423D-A0A1-9B7A18A523F0}"/>
    <cellStyle name="RISKtandbEdge 4 2" xfId="1086" xr:uid="{00000000-0005-0000-0000-0000BA060000}"/>
    <cellStyle name="RISKtandbEdge 4 2 10" xfId="6950" xr:uid="{DED26CB5-AB53-4FD6-9989-3FFD0DAA3037}"/>
    <cellStyle name="RISKtandbEdge 4 2 10 2" xfId="10095" xr:uid="{5A727313-7668-4B88-A1C8-38C26B4AF082}"/>
    <cellStyle name="RISKtandbEdge 4 2 11" xfId="7053" xr:uid="{212F02EA-3732-49B6-8BE3-D340943EB49F}"/>
    <cellStyle name="RISKtandbEdge 4 2 11 2" xfId="10198" xr:uid="{4A18F35E-B3D6-4DC6-807A-A1BC5039AC7A}"/>
    <cellStyle name="RISKtandbEdge 4 2 12" xfId="7553" xr:uid="{9B3B489B-B50C-4E1D-A799-4DC57927ABD3}"/>
    <cellStyle name="RISKtandbEdge 4 2 12 2" xfId="10687" xr:uid="{8102645F-D9D3-40D2-80FC-20EB921474AD}"/>
    <cellStyle name="RISKtandbEdge 4 2 13" xfId="7691" xr:uid="{D769C18C-91FC-496F-8A02-FDD606E16E66}"/>
    <cellStyle name="RISKtandbEdge 4 2 13 2" xfId="10824" xr:uid="{DEFAB019-87AC-4B1D-89AB-F562E1D651DC}"/>
    <cellStyle name="RISKtandbEdge 4 2 14" xfId="4575" xr:uid="{8C5BD813-592A-495E-AE8B-CAAA89BBF1F3}"/>
    <cellStyle name="RISKtandbEdge 4 2 15" xfId="7795" xr:uid="{9C9B6DBE-B956-4AFC-885C-1B282E22D7CC}"/>
    <cellStyle name="RISKtandbEdge 4 2 16" xfId="11077" xr:uid="{426659DC-CFD8-48FA-B50A-2879E6922A1C}"/>
    <cellStyle name="RISKtandbEdge 4 2 17" xfId="11493" xr:uid="{5826AF90-A192-4DA0-B5A0-895A03D861D0}"/>
    <cellStyle name="RISKtandbEdge 4 2 18" xfId="11642" xr:uid="{8B63F507-4234-4003-BEA8-403C200E6462}"/>
    <cellStyle name="RISKtandbEdge 4 2 19" xfId="11761" xr:uid="{2DEEDB63-8371-450F-8BDC-CCF865C261C5}"/>
    <cellStyle name="RISKtandbEdge 4 2 2" xfId="1594" xr:uid="{00000000-0005-0000-0000-0000BB060000}"/>
    <cellStyle name="RISKtandbEdge 4 2 2 2" xfId="3695" xr:uid="{18362050-85C3-4662-A57A-D72B97A62D9E}"/>
    <cellStyle name="RISKtandbEdge 4 2 2 3" xfId="5003" xr:uid="{16A9B25E-1E43-41A1-9550-5BDE22CF15F5}"/>
    <cellStyle name="RISKtandbEdge 4 2 2 4" xfId="8210" xr:uid="{B0FCEB15-1A44-4F87-B89C-B3982E374498}"/>
    <cellStyle name="RISKtandbEdge 4 2 20" xfId="12188" xr:uid="{B5118A11-8008-4B9F-BE7B-691BD8A054F9}"/>
    <cellStyle name="RISKtandbEdge 4 2 21" xfId="12795" xr:uid="{49A71EAC-082C-4EC0-A952-C48581D1F64B}"/>
    <cellStyle name="RISKtandbEdge 4 2 22" xfId="12936" xr:uid="{7DAAF29A-3950-465F-8D5D-B1CC05A5FB45}"/>
    <cellStyle name="RISKtandbEdge 4 2 23" xfId="13298" xr:uid="{122C81E3-9629-4665-AAFC-157391C19D8B}"/>
    <cellStyle name="RISKtandbEdge 4 2 24" xfId="13427" xr:uid="{4600E021-4DF9-4CA8-86FF-3E5731BE4DE9}"/>
    <cellStyle name="RISKtandbEdge 4 2 3" xfId="1851" xr:uid="{00000000-0005-0000-0000-0000BC060000}"/>
    <cellStyle name="RISKtandbEdge 4 2 3 2" xfId="3951" xr:uid="{AF0F0AB3-4AF0-4ECE-B12A-0E8D2753CBB5}"/>
    <cellStyle name="RISKtandbEdge 4 2 3 3" xfId="5255" xr:uid="{FE0A73CF-5C11-4FF2-AFA6-C25C52328607}"/>
    <cellStyle name="RISKtandbEdge 4 2 3 4" xfId="8449" xr:uid="{F4BF91FD-F440-407B-A9AF-EBBF80C443DD}"/>
    <cellStyle name="RISKtandbEdge 4 2 4" xfId="2105" xr:uid="{00000000-0005-0000-0000-0000BD060000}"/>
    <cellStyle name="RISKtandbEdge 4 2 4 2" xfId="4195" xr:uid="{1A9D75B2-27FF-4395-80C3-CC50C76FCB1D}"/>
    <cellStyle name="RISKtandbEdge 4 2 4 3" xfId="5493" xr:uid="{97497FBE-16E3-44DA-A5DD-BFF86BBD88FC}"/>
    <cellStyle name="RISKtandbEdge 4 2 4 4" xfId="8685" xr:uid="{7188FD69-BF77-4C12-B4AB-B769AAB51F9F}"/>
    <cellStyle name="RISKtandbEdge 4 2 5" xfId="2347" xr:uid="{B5F68534-196B-4A33-BF12-A61112EE2510}"/>
    <cellStyle name="RISKtandbEdge 4 2 5 2" xfId="5729" xr:uid="{71D44A11-B457-4A82-995F-16DD628B86AA}"/>
    <cellStyle name="RISKtandbEdge 4 2 5 3" xfId="8921" xr:uid="{558902D4-BF3A-4C1E-A13B-7F93AFD1531C}"/>
    <cellStyle name="RISKtandbEdge 4 2 6" xfId="2583" xr:uid="{B01AC7A9-CE45-496A-91E2-DA1AAC648C71}"/>
    <cellStyle name="RISKtandbEdge 4 2 6 2" xfId="5959" xr:uid="{7032E5D4-13F2-428E-B456-180C1BEF5352}"/>
    <cellStyle name="RISKtandbEdge 4 2 6 3" xfId="9151" xr:uid="{4B8B3358-A085-4061-B048-745105C0969B}"/>
    <cellStyle name="RISKtandbEdge 4 2 7" xfId="2822" xr:uid="{F0ABE2DD-6452-4EF5-B870-3B92CC119FCC}"/>
    <cellStyle name="RISKtandbEdge 4 2 7 2" xfId="6192" xr:uid="{21974DF3-DE8A-455D-B6D2-60B60EE576F7}"/>
    <cellStyle name="RISKtandbEdge 4 2 7 3" xfId="9381" xr:uid="{E82F495C-8305-40B9-B974-E9EB13F79972}"/>
    <cellStyle name="RISKtandbEdge 4 2 8" xfId="3269" xr:uid="{D553953C-0968-4E69-88EC-E6256FD324AD}"/>
    <cellStyle name="RISKtandbEdge 4 2 8 2" xfId="6425" xr:uid="{749257A7-5FFD-469B-8B41-102C10579F7C}"/>
    <cellStyle name="RISKtandbEdge 4 2 8 3" xfId="9611" xr:uid="{53DC868A-D63B-4507-B0E2-CABF9BCD341E}"/>
    <cellStyle name="RISKtandbEdge 4 2 9" xfId="6688" xr:uid="{485E6F1B-4D8B-4758-A042-7D30EB22CDA2}"/>
    <cellStyle name="RISKtandbEdge 4 2 9 2" xfId="9853" xr:uid="{1C643CCE-44F7-4C9C-8A46-6DF71628DFF6}"/>
    <cellStyle name="RISKtandbEdge 4 20" xfId="11760" xr:uid="{FF8C2011-41EB-4A15-8007-6A398A6ACF13}"/>
    <cellStyle name="RISKtandbEdge 4 21" xfId="12187" xr:uid="{57CD6801-B4BC-4341-B9C5-CD6A66EAF626}"/>
    <cellStyle name="RISKtandbEdge 4 22" xfId="12794" xr:uid="{A24B5CFD-8C97-44E3-9D03-C2CA4F749C62}"/>
    <cellStyle name="RISKtandbEdge 4 23" xfId="12935" xr:uid="{2A6C7652-1958-4149-9B7F-6E22C55731C4}"/>
    <cellStyle name="RISKtandbEdge 4 24" xfId="13297" xr:uid="{BBC79C75-F57D-4B69-9F9D-31587A80198F}"/>
    <cellStyle name="RISKtandbEdge 4 25" xfId="13426" xr:uid="{CECDF5E4-EAC4-42DE-9F4C-1A161FC8E341}"/>
    <cellStyle name="RISKtandbEdge 4 3" xfId="1593" xr:uid="{00000000-0005-0000-0000-0000BE060000}"/>
    <cellStyle name="RISKtandbEdge 4 3 2" xfId="3694" xr:uid="{F151AE53-3C9F-4318-9374-39B0E79BE047}"/>
    <cellStyle name="RISKtandbEdge 4 3 3" xfId="5002" xr:uid="{C8ED5201-A844-4DE1-B31C-16AC99ED7E60}"/>
    <cellStyle name="RISKtandbEdge 4 3 4" xfId="8209" xr:uid="{D6E0EAF2-D741-4832-BC13-B0D53A31FBA8}"/>
    <cellStyle name="RISKtandbEdge 4 4" xfId="1850" xr:uid="{00000000-0005-0000-0000-0000BF060000}"/>
    <cellStyle name="RISKtandbEdge 4 4 2" xfId="3950" xr:uid="{A9A75505-D53C-4F53-B623-8A1F83E306A1}"/>
    <cellStyle name="RISKtandbEdge 4 4 3" xfId="5254" xr:uid="{6EABCBF4-DE78-4082-AEDF-5C4E9A936715}"/>
    <cellStyle name="RISKtandbEdge 4 4 4" xfId="8448" xr:uid="{00EC6E2A-E1ED-4A6B-B737-66DAEF4530B3}"/>
    <cellStyle name="RISKtandbEdge 4 5" xfId="2104" xr:uid="{00000000-0005-0000-0000-0000C0060000}"/>
    <cellStyle name="RISKtandbEdge 4 5 2" xfId="4194" xr:uid="{B640A820-4563-4C52-B525-A2D131C2DE0E}"/>
    <cellStyle name="RISKtandbEdge 4 5 3" xfId="5492" xr:uid="{3BE1D7D6-8D25-48F7-9DF3-71FCEAA6DB14}"/>
    <cellStyle name="RISKtandbEdge 4 5 4" xfId="8684" xr:uid="{2AE5EF19-7D22-472B-9FEE-E7C50D7E7CDF}"/>
    <cellStyle name="RISKtandbEdge 4 6" xfId="2346" xr:uid="{62BD1876-F7BF-4AD6-9EEE-C0DED338AA92}"/>
    <cellStyle name="RISKtandbEdge 4 6 2" xfId="5728" xr:uid="{299D412F-731B-4600-8C01-44A56DBB0C55}"/>
    <cellStyle name="RISKtandbEdge 4 6 3" xfId="8920" xr:uid="{6F89430B-BE3E-4B54-B5C7-68855EFA6234}"/>
    <cellStyle name="RISKtandbEdge 4 7" xfId="2582" xr:uid="{38A529E1-5633-4137-8810-A1E41CBD8DE3}"/>
    <cellStyle name="RISKtandbEdge 4 7 2" xfId="5958" xr:uid="{DACBEB3D-3473-454B-8783-A92BF65F7781}"/>
    <cellStyle name="RISKtandbEdge 4 7 3" xfId="9150" xr:uid="{92886B22-694C-4DC0-98D6-3F305A856FD3}"/>
    <cellStyle name="RISKtandbEdge 4 8" xfId="2821" xr:uid="{1CB9D741-8DA9-43D3-A723-9D3AA84BD074}"/>
    <cellStyle name="RISKtandbEdge 4 8 2" xfId="6191" xr:uid="{28E837CA-993E-4504-97F9-04E90E8E8C14}"/>
    <cellStyle name="RISKtandbEdge 4 8 3" xfId="9380" xr:uid="{0894A17B-AC84-4B5B-BAFB-CF510B5C6F95}"/>
    <cellStyle name="RISKtandbEdge 4 9" xfId="3268" xr:uid="{7B37FC6D-0DAB-4267-9F92-5AC75F072C99}"/>
    <cellStyle name="RISKtandbEdge 4 9 2" xfId="6424" xr:uid="{D39D37F8-6A4B-400F-8CE4-8E44FD6E2586}"/>
    <cellStyle name="RISKtandbEdge 4 9 3" xfId="9610" xr:uid="{45B9F83E-31B9-4802-A867-44BC183B4BDB}"/>
    <cellStyle name="RISKtandbEdge 5" xfId="1087" xr:uid="{00000000-0005-0000-0000-0000C1060000}"/>
    <cellStyle name="RISKtandbEdge 5 10" xfId="6689" xr:uid="{9C4387F1-2473-4A68-94C3-70D648AFDE88}"/>
    <cellStyle name="RISKtandbEdge 5 10 2" xfId="9854" xr:uid="{85771E6F-090B-4E51-9899-683091BCE5C3}"/>
    <cellStyle name="RISKtandbEdge 5 11" xfId="6951" xr:uid="{48EF60D8-258E-4BD8-993A-1B7911A1351B}"/>
    <cellStyle name="RISKtandbEdge 5 11 2" xfId="10096" xr:uid="{F595FCF0-D89B-4364-B157-3845B1B800D8}"/>
    <cellStyle name="RISKtandbEdge 5 12" xfId="7054" xr:uid="{BADE5BDE-31DD-4F7C-9B23-D8BC85EE6646}"/>
    <cellStyle name="RISKtandbEdge 5 12 2" xfId="10199" xr:uid="{1F3D6599-D28A-45D5-85D4-17C2A014FFA2}"/>
    <cellStyle name="RISKtandbEdge 5 13" xfId="7554" xr:uid="{F1AD7408-9AC8-4FF9-B818-641FE6BB067F}"/>
    <cellStyle name="RISKtandbEdge 5 13 2" xfId="10688" xr:uid="{47EA589B-6E90-4B86-922D-D873C8099EA3}"/>
    <cellStyle name="RISKtandbEdge 5 14" xfId="7692" xr:uid="{6563F273-128F-4DF2-957C-D5146E1CC65E}"/>
    <cellStyle name="RISKtandbEdge 5 14 2" xfId="10825" xr:uid="{CF3E55F2-85F4-4916-90C1-8DD9F62DC9C7}"/>
    <cellStyle name="RISKtandbEdge 5 15" xfId="4576" xr:uid="{E8E6872B-DEAE-49DA-AAE5-BEECDF18ACC2}"/>
    <cellStyle name="RISKtandbEdge 5 16" xfId="7796" xr:uid="{9CC09E96-AEB9-440C-9E8B-7F357845C55B}"/>
    <cellStyle name="RISKtandbEdge 5 17" xfId="11078" xr:uid="{041C79EF-D057-4421-857C-5E44157CEF9A}"/>
    <cellStyle name="RISKtandbEdge 5 18" xfId="11494" xr:uid="{808206D5-4041-40BE-B560-292C3ADC6EED}"/>
    <cellStyle name="RISKtandbEdge 5 19" xfId="11643" xr:uid="{3B319E94-9B25-4166-9DA1-46E396CB2BA1}"/>
    <cellStyle name="RISKtandbEdge 5 2" xfId="1088" xr:uid="{00000000-0005-0000-0000-0000C2060000}"/>
    <cellStyle name="RISKtandbEdge 5 2 10" xfId="6952" xr:uid="{3BBF5B0F-8386-48FE-BB36-DA1F38F9E3BD}"/>
    <cellStyle name="RISKtandbEdge 5 2 10 2" xfId="10097" xr:uid="{1C03AFB6-9A03-48C0-AD0F-B2C499F5C59E}"/>
    <cellStyle name="RISKtandbEdge 5 2 11" xfId="7055" xr:uid="{8B6AEA91-1773-4BEC-9AA9-711E015125A2}"/>
    <cellStyle name="RISKtandbEdge 5 2 11 2" xfId="10200" xr:uid="{CA7F27A5-69FE-4550-A412-F296C2ADBA62}"/>
    <cellStyle name="RISKtandbEdge 5 2 12" xfId="7555" xr:uid="{DD1B5BAA-5B82-49B0-8937-182B506682D6}"/>
    <cellStyle name="RISKtandbEdge 5 2 12 2" xfId="10689" xr:uid="{02DE104D-DE06-4800-A542-AE4BE93BFE0E}"/>
    <cellStyle name="RISKtandbEdge 5 2 13" xfId="7693" xr:uid="{A18CE64E-8408-4232-80CF-C8047EE5013F}"/>
    <cellStyle name="RISKtandbEdge 5 2 13 2" xfId="10826" xr:uid="{833CD910-A7EA-46AE-93C4-45BA72D58FAC}"/>
    <cellStyle name="RISKtandbEdge 5 2 14" xfId="4577" xr:uid="{3143228D-F8A6-463B-8A9E-F711A0EDC007}"/>
    <cellStyle name="RISKtandbEdge 5 2 15" xfId="7797" xr:uid="{32488489-A9C3-493E-8DBF-982648D28A74}"/>
    <cellStyle name="RISKtandbEdge 5 2 16" xfId="11079" xr:uid="{B96F0D61-D8EA-4113-BBFC-B9984864A815}"/>
    <cellStyle name="RISKtandbEdge 5 2 17" xfId="11495" xr:uid="{F9B2722C-EADC-47C6-8DB0-2693ACEA3A8D}"/>
    <cellStyle name="RISKtandbEdge 5 2 18" xfId="11644" xr:uid="{1F27CFB3-5381-496A-8080-2B7C853C2C06}"/>
    <cellStyle name="RISKtandbEdge 5 2 19" xfId="11763" xr:uid="{9687AAEA-0B83-406E-A681-1D04E88AE289}"/>
    <cellStyle name="RISKtandbEdge 5 2 2" xfId="1596" xr:uid="{00000000-0005-0000-0000-0000C3060000}"/>
    <cellStyle name="RISKtandbEdge 5 2 2 2" xfId="3697" xr:uid="{7A8FC889-A891-4A06-BD05-227ED18125F9}"/>
    <cellStyle name="RISKtandbEdge 5 2 2 3" xfId="5005" xr:uid="{FBC2F3E5-0048-4C3F-8857-7CD48D211268}"/>
    <cellStyle name="RISKtandbEdge 5 2 2 4" xfId="8212" xr:uid="{C426FEBD-BA76-4A55-A8C7-311D975609A4}"/>
    <cellStyle name="RISKtandbEdge 5 2 20" xfId="12190" xr:uid="{E37A3100-1B9F-4415-8FE9-55E32000EA30}"/>
    <cellStyle name="RISKtandbEdge 5 2 21" xfId="12797" xr:uid="{1848E733-FF9E-45FC-8282-BF3DC3F7ADCA}"/>
    <cellStyle name="RISKtandbEdge 5 2 22" xfId="12938" xr:uid="{BFC9C3EE-A14C-490E-9A35-D937EA12601C}"/>
    <cellStyle name="RISKtandbEdge 5 2 23" xfId="13300" xr:uid="{E2F3ECF1-5FF7-4F1B-9E58-B5EBA328F1C4}"/>
    <cellStyle name="RISKtandbEdge 5 2 24" xfId="13429" xr:uid="{49877A7B-5215-4AB2-A230-94503E01F4EE}"/>
    <cellStyle name="RISKtandbEdge 5 2 3" xfId="1853" xr:uid="{00000000-0005-0000-0000-0000C4060000}"/>
    <cellStyle name="RISKtandbEdge 5 2 3 2" xfId="3953" xr:uid="{9152D9A3-994D-4339-8BF8-8181B53F35CF}"/>
    <cellStyle name="RISKtandbEdge 5 2 3 3" xfId="5257" xr:uid="{C6EFFCF9-3E82-4C2E-8CEB-541718F7E370}"/>
    <cellStyle name="RISKtandbEdge 5 2 3 4" xfId="8451" xr:uid="{AF57954A-6C72-4275-93C5-8564CC7B8ACB}"/>
    <cellStyle name="RISKtandbEdge 5 2 4" xfId="2107" xr:uid="{00000000-0005-0000-0000-0000C5060000}"/>
    <cellStyle name="RISKtandbEdge 5 2 4 2" xfId="4197" xr:uid="{91C7D7DD-F70C-4C03-98E1-7A9F4C483A4F}"/>
    <cellStyle name="RISKtandbEdge 5 2 4 3" xfId="5495" xr:uid="{B7B35A2E-C13E-40CD-9371-53EC2C0CC8EB}"/>
    <cellStyle name="RISKtandbEdge 5 2 4 4" xfId="8687" xr:uid="{EC47BB44-CF30-4A36-A15F-E9A0252C6D52}"/>
    <cellStyle name="RISKtandbEdge 5 2 5" xfId="2349" xr:uid="{DABCC477-BC23-4754-871B-C14F770FE8B0}"/>
    <cellStyle name="RISKtandbEdge 5 2 5 2" xfId="5731" xr:uid="{C2DBED5A-528D-4F00-8F67-BE628958E249}"/>
    <cellStyle name="RISKtandbEdge 5 2 5 3" xfId="8923" xr:uid="{AA26EC0A-E681-4F7A-A8C9-EA8C75DE5050}"/>
    <cellStyle name="RISKtandbEdge 5 2 6" xfId="2585" xr:uid="{3D86E2F3-13AD-423F-8A08-DC4BCA1E49E1}"/>
    <cellStyle name="RISKtandbEdge 5 2 6 2" xfId="5961" xr:uid="{F30813F7-FF3E-48B5-BF4F-CBD7CDAF8928}"/>
    <cellStyle name="RISKtandbEdge 5 2 6 3" xfId="9153" xr:uid="{C0E462F7-4CE5-4185-A961-765C00051786}"/>
    <cellStyle name="RISKtandbEdge 5 2 7" xfId="2824" xr:uid="{E0A206D5-BECF-4928-AE8C-A9B3A0C9A275}"/>
    <cellStyle name="RISKtandbEdge 5 2 7 2" xfId="6194" xr:uid="{348D2702-B14F-4466-9EAB-D63CE1F8798C}"/>
    <cellStyle name="RISKtandbEdge 5 2 7 3" xfId="9383" xr:uid="{5084EAA7-0AA8-42AD-9C97-03B549B6F2E9}"/>
    <cellStyle name="RISKtandbEdge 5 2 8" xfId="3271" xr:uid="{3284D86C-2DF5-454A-9A42-F3941CFEDF0F}"/>
    <cellStyle name="RISKtandbEdge 5 2 8 2" xfId="6427" xr:uid="{B7C58E4D-DEF3-4893-8EF8-768D834B1831}"/>
    <cellStyle name="RISKtandbEdge 5 2 8 3" xfId="9613" xr:uid="{89C35C09-C41C-4BE7-B5F4-03947382134E}"/>
    <cellStyle name="RISKtandbEdge 5 2 9" xfId="6690" xr:uid="{6EAB1EA3-89D1-482B-B456-47E3252C4320}"/>
    <cellStyle name="RISKtandbEdge 5 2 9 2" xfId="9855" xr:uid="{2343B5CB-B6AE-4A39-98FA-0B15602ABAA7}"/>
    <cellStyle name="RISKtandbEdge 5 20" xfId="11762" xr:uid="{B8497BD5-F67B-4BC9-A172-FB93EE71951B}"/>
    <cellStyle name="RISKtandbEdge 5 21" xfId="12189" xr:uid="{7DFA225E-FA41-469B-916C-74E51C033AA5}"/>
    <cellStyle name="RISKtandbEdge 5 22" xfId="12796" xr:uid="{0CBBFA3E-18B3-4C25-ACCD-179751402259}"/>
    <cellStyle name="RISKtandbEdge 5 23" xfId="12937" xr:uid="{0435F86B-A4CC-4DCB-A1B6-7FB47F454D7C}"/>
    <cellStyle name="RISKtandbEdge 5 24" xfId="13299" xr:uid="{BFF830FC-620A-4E04-BAFB-9DAAE613C830}"/>
    <cellStyle name="RISKtandbEdge 5 25" xfId="13428" xr:uid="{9F76B807-E99A-420A-95C8-BD4B2B8CA401}"/>
    <cellStyle name="RISKtandbEdge 5 3" xfId="1595" xr:uid="{00000000-0005-0000-0000-0000C6060000}"/>
    <cellStyle name="RISKtandbEdge 5 3 2" xfId="3696" xr:uid="{64E31F5E-EED4-4701-A9E7-623ECF55827C}"/>
    <cellStyle name="RISKtandbEdge 5 3 3" xfId="5004" xr:uid="{FEEDA1BB-5617-4E70-AD90-409BE7B3E3FC}"/>
    <cellStyle name="RISKtandbEdge 5 3 4" xfId="8211" xr:uid="{C418BBF5-997E-422D-B12B-69A2404C260D}"/>
    <cellStyle name="RISKtandbEdge 5 4" xfId="1852" xr:uid="{00000000-0005-0000-0000-0000C7060000}"/>
    <cellStyle name="RISKtandbEdge 5 4 2" xfId="3952" xr:uid="{62BE7B40-954D-40FC-BA15-2DD3435EA8D7}"/>
    <cellStyle name="RISKtandbEdge 5 4 3" xfId="5256" xr:uid="{E53BB8DA-1476-4E5A-8B47-DD35710004D2}"/>
    <cellStyle name="RISKtandbEdge 5 4 4" xfId="8450" xr:uid="{EA0BDA64-58F4-40C3-A6B3-14C7FD304D19}"/>
    <cellStyle name="RISKtandbEdge 5 5" xfId="2106" xr:uid="{00000000-0005-0000-0000-0000C8060000}"/>
    <cellStyle name="RISKtandbEdge 5 5 2" xfId="4196" xr:uid="{C785C7D1-BBF9-47D6-8F35-077B0E7F9728}"/>
    <cellStyle name="RISKtandbEdge 5 5 3" xfId="5494" xr:uid="{617BB868-0ED5-4D68-9253-E46383CBC8B2}"/>
    <cellStyle name="RISKtandbEdge 5 5 4" xfId="8686" xr:uid="{5F941440-612C-4865-902E-7846AE2BA7B9}"/>
    <cellStyle name="RISKtandbEdge 5 6" xfId="2348" xr:uid="{BF4814FE-8D55-488F-A4EE-646759DB41DA}"/>
    <cellStyle name="RISKtandbEdge 5 6 2" xfId="5730" xr:uid="{DC59910F-B6ED-4368-A2F2-A0DEA327CD23}"/>
    <cellStyle name="RISKtandbEdge 5 6 3" xfId="8922" xr:uid="{F5015C06-8D4A-41DF-95AA-4732775CD2AD}"/>
    <cellStyle name="RISKtandbEdge 5 7" xfId="2584" xr:uid="{B83509B9-9D10-4F33-B8D1-22227EE46BBA}"/>
    <cellStyle name="RISKtandbEdge 5 7 2" xfId="5960" xr:uid="{0864545C-7EAC-4741-86F8-D0FA110F3D93}"/>
    <cellStyle name="RISKtandbEdge 5 7 3" xfId="9152" xr:uid="{1ADFDB63-0080-4D5C-B138-15FC62E9456C}"/>
    <cellStyle name="RISKtandbEdge 5 8" xfId="2823" xr:uid="{4F0602B0-CEBA-44F1-9C19-5A1CAAC5E5AB}"/>
    <cellStyle name="RISKtandbEdge 5 8 2" xfId="6193" xr:uid="{4351AC2A-9EE4-49C1-B968-BFED3BB60C6D}"/>
    <cellStyle name="RISKtandbEdge 5 8 3" xfId="9382" xr:uid="{D63132FC-1FB6-4242-83E4-A90E38CBED66}"/>
    <cellStyle name="RISKtandbEdge 5 9" xfId="3270" xr:uid="{B35C4BF2-45A6-4376-A398-43967711AECE}"/>
    <cellStyle name="RISKtandbEdge 5 9 2" xfId="6426" xr:uid="{4A9112DA-C1F1-4355-BCE1-81FF7377F933}"/>
    <cellStyle name="RISKtandbEdge 5 9 3" xfId="9612" xr:uid="{52D8AA1B-4459-43D8-9343-E331A05F94BE}"/>
    <cellStyle name="RISKtandbEdge 6" xfId="1089" xr:uid="{00000000-0005-0000-0000-0000C9060000}"/>
    <cellStyle name="RISKtandbEdge 6 10" xfId="6691" xr:uid="{622AA81A-9D52-41AF-A945-8019B99D3CB7}"/>
    <cellStyle name="RISKtandbEdge 6 10 2" xfId="9856" xr:uid="{4D22E88D-1879-4C75-AC5A-96038AE8FC31}"/>
    <cellStyle name="RISKtandbEdge 6 11" xfId="6953" xr:uid="{6546770A-B5BB-4D58-B8C1-796DE4168EA6}"/>
    <cellStyle name="RISKtandbEdge 6 11 2" xfId="10098" xr:uid="{053C3EAC-01BE-436A-8A26-05AB43126CF5}"/>
    <cellStyle name="RISKtandbEdge 6 12" xfId="7056" xr:uid="{15BEAA94-4218-462A-804D-11BC9D0E79BA}"/>
    <cellStyle name="RISKtandbEdge 6 12 2" xfId="10201" xr:uid="{07893BB4-46F9-4DC6-836B-37C22EFA5143}"/>
    <cellStyle name="RISKtandbEdge 6 13" xfId="7556" xr:uid="{4461EC7F-4D3D-4DD1-9A8E-C5FD61F72A27}"/>
    <cellStyle name="RISKtandbEdge 6 13 2" xfId="10690" xr:uid="{5A401CC4-C1CD-4364-873B-6018386047D1}"/>
    <cellStyle name="RISKtandbEdge 6 14" xfId="7694" xr:uid="{7FDD0C0D-10FF-449A-AF0D-9182DD50F8FC}"/>
    <cellStyle name="RISKtandbEdge 6 14 2" xfId="10827" xr:uid="{946BE6BF-0215-4F78-9204-A69EBBC63C23}"/>
    <cellStyle name="RISKtandbEdge 6 15" xfId="4578" xr:uid="{D8280FAD-9140-4423-9B51-6E2B424F83A1}"/>
    <cellStyle name="RISKtandbEdge 6 16" xfId="7798" xr:uid="{490A6CC6-370B-4EEA-8DF1-BD9B6628F785}"/>
    <cellStyle name="RISKtandbEdge 6 17" xfId="11080" xr:uid="{44E2686D-CFB8-4255-892A-1C400717ECCB}"/>
    <cellStyle name="RISKtandbEdge 6 18" xfId="11496" xr:uid="{97BBBE5B-3D4B-44B6-A48F-81C749AD25DD}"/>
    <cellStyle name="RISKtandbEdge 6 19" xfId="11645" xr:uid="{5B215CB7-3B29-4D7F-B70A-113AECE4E8C9}"/>
    <cellStyle name="RISKtandbEdge 6 2" xfId="1090" xr:uid="{00000000-0005-0000-0000-0000CA060000}"/>
    <cellStyle name="RISKtandbEdge 6 2 10" xfId="6954" xr:uid="{AB757203-3A71-4453-BB16-FA63CD224AFD}"/>
    <cellStyle name="RISKtandbEdge 6 2 10 2" xfId="10099" xr:uid="{E6176E89-FE01-4BC0-BA8F-1ACBDFB3BA75}"/>
    <cellStyle name="RISKtandbEdge 6 2 11" xfId="7057" xr:uid="{44B23E46-EC81-48E4-8E66-D0D921A38C07}"/>
    <cellStyle name="RISKtandbEdge 6 2 11 2" xfId="10202" xr:uid="{B3479016-4FCB-43D3-A608-A8E94B0DC17B}"/>
    <cellStyle name="RISKtandbEdge 6 2 12" xfId="7557" xr:uid="{A8B6D032-9734-4F5C-ADF8-A466B8B5F554}"/>
    <cellStyle name="RISKtandbEdge 6 2 12 2" xfId="10691" xr:uid="{42E75711-A550-4B88-99EA-A768801A8A27}"/>
    <cellStyle name="RISKtandbEdge 6 2 13" xfId="7695" xr:uid="{00361A4B-5F7E-460D-8CCF-EB23A69A0BA0}"/>
    <cellStyle name="RISKtandbEdge 6 2 13 2" xfId="10828" xr:uid="{FF1EE539-FB26-4C42-B7A4-62B159ADAAAE}"/>
    <cellStyle name="RISKtandbEdge 6 2 14" xfId="4579" xr:uid="{450D31C1-520D-408B-94ED-CC7E475E08AB}"/>
    <cellStyle name="RISKtandbEdge 6 2 15" xfId="7799" xr:uid="{79D7F241-3C0D-4D2F-8647-A6AEF6C52AC1}"/>
    <cellStyle name="RISKtandbEdge 6 2 16" xfId="11081" xr:uid="{A1CF3BF7-5DD6-470A-890B-DA0D3CC132C8}"/>
    <cellStyle name="RISKtandbEdge 6 2 17" xfId="11497" xr:uid="{D401E664-5D54-47B4-A6F8-E4D3725AD969}"/>
    <cellStyle name="RISKtandbEdge 6 2 18" xfId="11646" xr:uid="{05C9C635-1E83-4671-9D07-DE459CDAB4B9}"/>
    <cellStyle name="RISKtandbEdge 6 2 19" xfId="11765" xr:uid="{E94EEF1C-5902-4FFF-80FB-135577BFD9EC}"/>
    <cellStyle name="RISKtandbEdge 6 2 2" xfId="1598" xr:uid="{00000000-0005-0000-0000-0000CB060000}"/>
    <cellStyle name="RISKtandbEdge 6 2 2 2" xfId="3699" xr:uid="{11A2E81E-539A-4579-9CEE-0E667EA28B34}"/>
    <cellStyle name="RISKtandbEdge 6 2 2 3" xfId="5007" xr:uid="{DD129E8B-6C3A-43E5-9783-CEA9CF332B06}"/>
    <cellStyle name="RISKtandbEdge 6 2 2 4" xfId="8214" xr:uid="{A58E50C7-73CF-4F0E-B749-9B464D7BF9B1}"/>
    <cellStyle name="RISKtandbEdge 6 2 20" xfId="12192" xr:uid="{35F0D039-2CCE-4ECD-B518-2F8A92F9DE5C}"/>
    <cellStyle name="RISKtandbEdge 6 2 21" xfId="12799" xr:uid="{C2CFCAF1-C5FF-4B5F-A36F-CC6B41EE424A}"/>
    <cellStyle name="RISKtandbEdge 6 2 22" xfId="12940" xr:uid="{67FA064C-09A1-48E5-AB9C-DEB6467310CE}"/>
    <cellStyle name="RISKtandbEdge 6 2 23" xfId="13302" xr:uid="{C642BF31-595A-4D5A-A136-A84167E61251}"/>
    <cellStyle name="RISKtandbEdge 6 2 24" xfId="13431" xr:uid="{A6E39ACE-8D64-438B-8E5C-93CAA5D81E62}"/>
    <cellStyle name="RISKtandbEdge 6 2 3" xfId="1855" xr:uid="{00000000-0005-0000-0000-0000CC060000}"/>
    <cellStyle name="RISKtandbEdge 6 2 3 2" xfId="3955" xr:uid="{F40E98E6-CD52-4168-B94F-A46A5E847B0C}"/>
    <cellStyle name="RISKtandbEdge 6 2 3 3" xfId="5259" xr:uid="{DC344C98-7D7B-4C02-ACDD-75A885500A56}"/>
    <cellStyle name="RISKtandbEdge 6 2 3 4" xfId="8453" xr:uid="{7674FED8-B097-4173-B0DE-9A1F24A9236B}"/>
    <cellStyle name="RISKtandbEdge 6 2 4" xfId="2109" xr:uid="{00000000-0005-0000-0000-0000CD060000}"/>
    <cellStyle name="RISKtandbEdge 6 2 4 2" xfId="4199" xr:uid="{2DD822CF-A9AF-46E3-AE42-4075656CA82E}"/>
    <cellStyle name="RISKtandbEdge 6 2 4 3" xfId="5497" xr:uid="{A089C814-3626-4DFF-B773-E7A54DBFD29D}"/>
    <cellStyle name="RISKtandbEdge 6 2 4 4" xfId="8689" xr:uid="{EA75AC71-C005-4990-ADEF-3D0A49196B07}"/>
    <cellStyle name="RISKtandbEdge 6 2 5" xfId="2351" xr:uid="{B1B21D2D-A3BA-4411-AE30-D1A810D19907}"/>
    <cellStyle name="RISKtandbEdge 6 2 5 2" xfId="5733" xr:uid="{623DEEF1-00B8-484C-AD0F-D30A27FB5BC5}"/>
    <cellStyle name="RISKtandbEdge 6 2 5 3" xfId="8925" xr:uid="{922E06EF-C9E8-4200-AC1A-A133EF68A1F3}"/>
    <cellStyle name="RISKtandbEdge 6 2 6" xfId="2587" xr:uid="{3EEFCEE1-5380-44BA-8ADB-D54D9FB46C16}"/>
    <cellStyle name="RISKtandbEdge 6 2 6 2" xfId="5963" xr:uid="{191B9C12-2A8D-4757-8623-80C087189AFD}"/>
    <cellStyle name="RISKtandbEdge 6 2 6 3" xfId="9155" xr:uid="{BCD90976-1BD8-401F-BF3D-4BA318DDE25D}"/>
    <cellStyle name="RISKtandbEdge 6 2 7" xfId="2826" xr:uid="{C59AAEC2-E43E-4854-9170-A6688FE379D7}"/>
    <cellStyle name="RISKtandbEdge 6 2 7 2" xfId="6196" xr:uid="{703987D2-286D-437C-9CC9-DE3AEE445237}"/>
    <cellStyle name="RISKtandbEdge 6 2 7 3" xfId="9385" xr:uid="{FF78FC03-7360-499C-9C6B-235D1562A21C}"/>
    <cellStyle name="RISKtandbEdge 6 2 8" xfId="3273" xr:uid="{552B2A99-E61B-4173-9BF1-05B8E99A73A3}"/>
    <cellStyle name="RISKtandbEdge 6 2 8 2" xfId="6429" xr:uid="{BA133E32-332C-42D8-8826-EE50E7EC1C0C}"/>
    <cellStyle name="RISKtandbEdge 6 2 8 3" xfId="9615" xr:uid="{A6C17175-0744-46B8-ABCA-DDDABD540955}"/>
    <cellStyle name="RISKtandbEdge 6 2 9" xfId="6692" xr:uid="{71F030BA-913F-4496-91A5-EF51246DC3C2}"/>
    <cellStyle name="RISKtandbEdge 6 2 9 2" xfId="9857" xr:uid="{72D7DFC4-37BF-40BF-A18A-9A7BE5EBCE75}"/>
    <cellStyle name="RISKtandbEdge 6 20" xfId="11764" xr:uid="{32107FCE-D46B-4EB6-BA0C-4D8654AE9135}"/>
    <cellStyle name="RISKtandbEdge 6 21" xfId="12191" xr:uid="{0820947A-85A9-4C14-BF61-F3059DB56653}"/>
    <cellStyle name="RISKtandbEdge 6 22" xfId="12798" xr:uid="{86928231-D97E-4561-8352-3DD979E7C90D}"/>
    <cellStyle name="RISKtandbEdge 6 23" xfId="12939" xr:uid="{0744DCBF-903D-45BB-90AE-325331F36FED}"/>
    <cellStyle name="RISKtandbEdge 6 24" xfId="13301" xr:uid="{24BC0170-62A8-4D95-A8EF-6142BE7C14A3}"/>
    <cellStyle name="RISKtandbEdge 6 25" xfId="13430" xr:uid="{D0443094-710F-4335-9F3F-E5F2568697B6}"/>
    <cellStyle name="RISKtandbEdge 6 3" xfId="1597" xr:uid="{00000000-0005-0000-0000-0000CE060000}"/>
    <cellStyle name="RISKtandbEdge 6 3 2" xfId="3698" xr:uid="{5FC2D5E0-827F-4AE9-8542-AE2CFD63F655}"/>
    <cellStyle name="RISKtandbEdge 6 3 3" xfId="5006" xr:uid="{54B11FF2-CF40-480D-84FD-823C5F44E611}"/>
    <cellStyle name="RISKtandbEdge 6 3 4" xfId="8213" xr:uid="{4BBA91E6-D872-4AE9-9E8C-CAC7B78BC34B}"/>
    <cellStyle name="RISKtandbEdge 6 4" xfId="1854" xr:uid="{00000000-0005-0000-0000-0000CF060000}"/>
    <cellStyle name="RISKtandbEdge 6 4 2" xfId="3954" xr:uid="{604A9BBA-BFE0-4D78-8983-D4FEE793AA1B}"/>
    <cellStyle name="RISKtandbEdge 6 4 3" xfId="5258" xr:uid="{2850C9AC-61B2-49DE-A0D8-D84B22D568B7}"/>
    <cellStyle name="RISKtandbEdge 6 4 4" xfId="8452" xr:uid="{1BA79488-E906-4EF8-8D74-16215D324A3F}"/>
    <cellStyle name="RISKtandbEdge 6 5" xfId="2108" xr:uid="{00000000-0005-0000-0000-0000D0060000}"/>
    <cellStyle name="RISKtandbEdge 6 5 2" xfId="4198" xr:uid="{A9B6751B-F1B7-4F36-8FF6-82D46EC0E852}"/>
    <cellStyle name="RISKtandbEdge 6 5 3" xfId="5496" xr:uid="{B0A0FD04-F06D-432E-8C5B-BCE1C36CA4BE}"/>
    <cellStyle name="RISKtandbEdge 6 5 4" xfId="8688" xr:uid="{69CF8DDD-A6ED-4AD5-BB19-4B5F80CB2EFE}"/>
    <cellStyle name="RISKtandbEdge 6 6" xfId="2350" xr:uid="{8B6ADCCE-B1CD-4E53-9887-C8F28DD2B07A}"/>
    <cellStyle name="RISKtandbEdge 6 6 2" xfId="5732" xr:uid="{B8B0A956-4A47-454B-8E33-BCFCDD8C6299}"/>
    <cellStyle name="RISKtandbEdge 6 6 3" xfId="8924" xr:uid="{BB8CDCD8-9835-41B3-881E-8D0CE74BE82D}"/>
    <cellStyle name="RISKtandbEdge 6 7" xfId="2586" xr:uid="{FF270F1F-FFC8-492B-ADF6-5FCBC6AFBBAC}"/>
    <cellStyle name="RISKtandbEdge 6 7 2" xfId="5962" xr:uid="{7D2D9C97-A9B2-4C19-AF84-84A30801E424}"/>
    <cellStyle name="RISKtandbEdge 6 7 3" xfId="9154" xr:uid="{C0663350-A550-44EE-8AAE-F52E729CFE46}"/>
    <cellStyle name="RISKtandbEdge 6 8" xfId="2825" xr:uid="{DEB52AB3-279F-497C-93A9-4EF6EB9133AA}"/>
    <cellStyle name="RISKtandbEdge 6 8 2" xfId="6195" xr:uid="{437883DD-84B8-49EA-B248-B70C79F4ED5F}"/>
    <cellStyle name="RISKtandbEdge 6 8 3" xfId="9384" xr:uid="{9D90D201-3C70-4D52-89E4-099C589F6F7C}"/>
    <cellStyle name="RISKtandbEdge 6 9" xfId="3272" xr:uid="{665D1160-68D8-4A64-BF12-16655A616402}"/>
    <cellStyle name="RISKtandbEdge 6 9 2" xfId="6428" xr:uid="{DF0B90DE-F184-45D6-A64B-8F3073EBF092}"/>
    <cellStyle name="RISKtandbEdge 6 9 3" xfId="9614" xr:uid="{5D349380-6610-45D5-8297-C91246C7A69A}"/>
    <cellStyle name="RISKtandbEdge 7" xfId="1091" xr:uid="{00000000-0005-0000-0000-0000D1060000}"/>
    <cellStyle name="RISKtandbEdge 7 10" xfId="3274" xr:uid="{2793C845-BF57-4B5B-8ED8-EAE2AC0707AC}"/>
    <cellStyle name="RISKtandbEdge 7 10 2" xfId="6430" xr:uid="{C798A850-4FAC-4924-A509-B1818AF08B06}"/>
    <cellStyle name="RISKtandbEdge 7 10 3" xfId="9616" xr:uid="{71856154-9F1B-4F48-BEB7-ECB981D1CE7D}"/>
    <cellStyle name="RISKtandbEdge 7 11" xfId="6693" xr:uid="{F39855A5-3FCC-4EA5-B01A-5922807F4911}"/>
    <cellStyle name="RISKtandbEdge 7 11 2" xfId="9858" xr:uid="{CEEA21C8-9312-47DA-9BA5-69A65D8CA9CB}"/>
    <cellStyle name="RISKtandbEdge 7 12" xfId="6955" xr:uid="{F1638C4E-46FF-4067-8F24-3BA46253F7F2}"/>
    <cellStyle name="RISKtandbEdge 7 12 2" xfId="10100" xr:uid="{BADC1A19-6D23-46FB-BA3F-D00D3A92F7CF}"/>
    <cellStyle name="RISKtandbEdge 7 13" xfId="7058" xr:uid="{2E7238C5-75A3-4120-A08C-0C314C3AFB43}"/>
    <cellStyle name="RISKtandbEdge 7 13 2" xfId="10203" xr:uid="{018BA795-D183-48E6-BBF5-9CFF4DC76224}"/>
    <cellStyle name="RISKtandbEdge 7 14" xfId="7558" xr:uid="{1CC636AB-4118-4FB9-B9E0-1F21AB4C9742}"/>
    <cellStyle name="RISKtandbEdge 7 14 2" xfId="10692" xr:uid="{BAE8B910-0AC8-41BD-BBC2-2A583561ECE6}"/>
    <cellStyle name="RISKtandbEdge 7 15" xfId="7696" xr:uid="{00386553-D4AA-42BF-8B9F-5BAB1314917B}"/>
    <cellStyle name="RISKtandbEdge 7 15 2" xfId="10829" xr:uid="{438A1545-5BAA-49A1-BAEF-0CB5FE3FA676}"/>
    <cellStyle name="RISKtandbEdge 7 16" xfId="4580" xr:uid="{BA809F5F-1F2C-4FE2-9129-C7577249C320}"/>
    <cellStyle name="RISKtandbEdge 7 17" xfId="7800" xr:uid="{C6496B95-B138-462B-800B-88E713EFD763}"/>
    <cellStyle name="RISKtandbEdge 7 18" xfId="11082" xr:uid="{0C8E0AB9-D9C1-4354-B025-C6F273CF966F}"/>
    <cellStyle name="RISKtandbEdge 7 19" xfId="11498" xr:uid="{6351CC8D-1401-4F3B-9870-DD865A2D05FD}"/>
    <cellStyle name="RISKtandbEdge 7 2" xfId="1092" xr:uid="{00000000-0005-0000-0000-0000D2060000}"/>
    <cellStyle name="RISKtandbEdge 7 2 10" xfId="6956" xr:uid="{60152CB0-FCD0-41D4-8A08-6ABF22313789}"/>
    <cellStyle name="RISKtandbEdge 7 2 10 2" xfId="10101" xr:uid="{64315379-BC38-4102-B2B9-0DBAB1E8F22E}"/>
    <cellStyle name="RISKtandbEdge 7 2 11" xfId="7059" xr:uid="{4332B954-7C24-41F3-9463-6AE4ED7B69F5}"/>
    <cellStyle name="RISKtandbEdge 7 2 11 2" xfId="10204" xr:uid="{31FD01DF-FC17-4DBE-BDF6-908FE9C43AC0}"/>
    <cellStyle name="RISKtandbEdge 7 2 12" xfId="7559" xr:uid="{B852835C-05CB-406A-9A02-5DB94F751261}"/>
    <cellStyle name="RISKtandbEdge 7 2 12 2" xfId="10693" xr:uid="{9991F025-A6DB-470E-86A7-D7E8BD6D4BAB}"/>
    <cellStyle name="RISKtandbEdge 7 2 13" xfId="7697" xr:uid="{D2FB23F6-6735-42F2-B515-07A3536FB395}"/>
    <cellStyle name="RISKtandbEdge 7 2 13 2" xfId="10830" xr:uid="{3C0306CC-287C-444E-B302-7C26CE6B5978}"/>
    <cellStyle name="RISKtandbEdge 7 2 14" xfId="4581" xr:uid="{2A3F726C-0835-4BA9-ADBD-FE4D1C11B23E}"/>
    <cellStyle name="RISKtandbEdge 7 2 15" xfId="7801" xr:uid="{E5CAD2E6-2308-4D81-8585-ABFFC924CBB2}"/>
    <cellStyle name="RISKtandbEdge 7 2 16" xfId="11083" xr:uid="{B4282485-FA9A-45E6-A212-5FCADB768444}"/>
    <cellStyle name="RISKtandbEdge 7 2 17" xfId="11499" xr:uid="{50B57754-886B-4487-9224-8B8F09A7EC3B}"/>
    <cellStyle name="RISKtandbEdge 7 2 18" xfId="11648" xr:uid="{36B57560-F84C-4862-9826-B5FF003218C9}"/>
    <cellStyle name="RISKtandbEdge 7 2 19" xfId="11767" xr:uid="{F56A94CA-65A7-415F-B4B1-5C9F519D1B51}"/>
    <cellStyle name="RISKtandbEdge 7 2 2" xfId="1600" xr:uid="{00000000-0005-0000-0000-0000D3060000}"/>
    <cellStyle name="RISKtandbEdge 7 2 2 2" xfId="3701" xr:uid="{E92EBD2C-9682-425D-8FBD-EBEB50F1E3B9}"/>
    <cellStyle name="RISKtandbEdge 7 2 2 3" xfId="5009" xr:uid="{A16AEB6A-D125-4277-9B5A-71E03FEB07FA}"/>
    <cellStyle name="RISKtandbEdge 7 2 2 4" xfId="8216" xr:uid="{9FA8C3A4-449E-408E-AAD7-9FC577E9E3CF}"/>
    <cellStyle name="RISKtandbEdge 7 2 20" xfId="12194" xr:uid="{A7B16EC3-971B-4F1A-9351-BD1B02C4F511}"/>
    <cellStyle name="RISKtandbEdge 7 2 21" xfId="12801" xr:uid="{FDBA486B-FE88-4E4D-B959-6640194CEB7B}"/>
    <cellStyle name="RISKtandbEdge 7 2 22" xfId="12942" xr:uid="{A3B760DF-ECD8-4E1D-A5FA-5523307DBCB9}"/>
    <cellStyle name="RISKtandbEdge 7 2 23" xfId="13304" xr:uid="{4F225373-6D6D-4CCA-B43F-F18B756DF540}"/>
    <cellStyle name="RISKtandbEdge 7 2 24" xfId="13433" xr:uid="{B530AFBC-2ABB-44DA-BFB2-FADFBB3ACAA5}"/>
    <cellStyle name="RISKtandbEdge 7 2 3" xfId="1857" xr:uid="{00000000-0005-0000-0000-0000D4060000}"/>
    <cellStyle name="RISKtandbEdge 7 2 3 2" xfId="3957" xr:uid="{3CA1E242-B74E-49E6-830A-87AFEAE724DB}"/>
    <cellStyle name="RISKtandbEdge 7 2 3 3" xfId="5261" xr:uid="{8F4C2378-7B00-4E55-8954-7D015D347B2F}"/>
    <cellStyle name="RISKtandbEdge 7 2 3 4" xfId="8455" xr:uid="{A5EC9331-4DF4-46C9-9DEE-885B37FA8C13}"/>
    <cellStyle name="RISKtandbEdge 7 2 4" xfId="2111" xr:uid="{00000000-0005-0000-0000-0000D5060000}"/>
    <cellStyle name="RISKtandbEdge 7 2 4 2" xfId="4201" xr:uid="{291F08FA-A55A-48CB-B06A-174CFF8BC5D6}"/>
    <cellStyle name="RISKtandbEdge 7 2 4 3" xfId="5499" xr:uid="{F02BF46E-B10F-4BF5-A417-B1C850C911EE}"/>
    <cellStyle name="RISKtandbEdge 7 2 4 4" xfId="8691" xr:uid="{088D9D91-EE19-425D-874B-DE6EDF92FC46}"/>
    <cellStyle name="RISKtandbEdge 7 2 5" xfId="2353" xr:uid="{4609B3FC-D0CF-4970-9540-911A296EB154}"/>
    <cellStyle name="RISKtandbEdge 7 2 5 2" xfId="5735" xr:uid="{13BD0071-C92A-40D7-A886-C4431A1F4196}"/>
    <cellStyle name="RISKtandbEdge 7 2 5 3" xfId="8927" xr:uid="{1ABD50A7-3582-46C0-85F2-951526AAE964}"/>
    <cellStyle name="RISKtandbEdge 7 2 6" xfId="2589" xr:uid="{925D9D2E-69AF-4A67-891C-EDA9F9F4195B}"/>
    <cellStyle name="RISKtandbEdge 7 2 6 2" xfId="5965" xr:uid="{9CE32158-DDFB-45B3-85BB-FFE0061884AE}"/>
    <cellStyle name="RISKtandbEdge 7 2 6 3" xfId="9157" xr:uid="{808F1B1A-0FC2-4D49-8021-CCC4A3F6265B}"/>
    <cellStyle name="RISKtandbEdge 7 2 7" xfId="2828" xr:uid="{2C072174-3A78-482F-AF94-A8BC65E29EE4}"/>
    <cellStyle name="RISKtandbEdge 7 2 7 2" xfId="6198" xr:uid="{600240CE-7954-46AD-BD42-A4CB94EAB297}"/>
    <cellStyle name="RISKtandbEdge 7 2 7 3" xfId="9387" xr:uid="{24864A3D-A35D-4028-8F20-69724EA0C224}"/>
    <cellStyle name="RISKtandbEdge 7 2 8" xfId="3275" xr:uid="{E72C1B8A-93ED-4D03-8105-C9E38643BF94}"/>
    <cellStyle name="RISKtandbEdge 7 2 8 2" xfId="6431" xr:uid="{A888A44B-E13B-41BE-8774-5ACC20ED0258}"/>
    <cellStyle name="RISKtandbEdge 7 2 8 3" xfId="9617" xr:uid="{D69543EB-B6D7-4332-BF18-25334E389824}"/>
    <cellStyle name="RISKtandbEdge 7 2 9" xfId="6694" xr:uid="{BDC262AC-2A1B-4F44-A29B-F61A3492DD33}"/>
    <cellStyle name="RISKtandbEdge 7 2 9 2" xfId="9859" xr:uid="{16FF1B86-8C53-49F0-89F4-F49E2C24EE81}"/>
    <cellStyle name="RISKtandbEdge 7 20" xfId="11647" xr:uid="{A5B6E03E-9AC2-47F5-A936-5CC8A8873922}"/>
    <cellStyle name="RISKtandbEdge 7 21" xfId="11766" xr:uid="{E6FC6A96-B791-4B91-8483-D4927E3B6F23}"/>
    <cellStyle name="RISKtandbEdge 7 22" xfId="12193" xr:uid="{D77A3E61-3DB3-4B7E-8ABB-966C934FC6CA}"/>
    <cellStyle name="RISKtandbEdge 7 23" xfId="12800" xr:uid="{BB22F082-009D-4B11-A4FD-8B7EE445622B}"/>
    <cellStyle name="RISKtandbEdge 7 24" xfId="12941" xr:uid="{E90984F2-31B8-42E4-9ED0-F75335AB4D83}"/>
    <cellStyle name="RISKtandbEdge 7 25" xfId="13303" xr:uid="{A6214E7B-D2D5-4332-96BD-343672FAD6BA}"/>
    <cellStyle name="RISKtandbEdge 7 26" xfId="13432" xr:uid="{3C6ACAF3-EFA2-4F79-9BDB-F383B5DD1919}"/>
    <cellStyle name="RISKtandbEdge 7 3" xfId="1093" xr:uid="{00000000-0005-0000-0000-0000D6060000}"/>
    <cellStyle name="RISKtandbEdge 7 3 10" xfId="6957" xr:uid="{0A0E9BF4-A58B-4BDC-8742-C9547D7F64D6}"/>
    <cellStyle name="RISKtandbEdge 7 3 10 2" xfId="10102" xr:uid="{0F03796C-9CF7-4267-B965-C8CDEF169C16}"/>
    <cellStyle name="RISKtandbEdge 7 3 11" xfId="7060" xr:uid="{AEB23772-F088-484F-822F-EB5ADFFDBEB1}"/>
    <cellStyle name="RISKtandbEdge 7 3 11 2" xfId="10205" xr:uid="{CB7FD44E-F9F3-4C43-AE2A-A28E3358E985}"/>
    <cellStyle name="RISKtandbEdge 7 3 12" xfId="7560" xr:uid="{AF5E21AB-CD27-4B21-8FA8-44E61CD85D86}"/>
    <cellStyle name="RISKtandbEdge 7 3 12 2" xfId="10694" xr:uid="{39BF3508-75F2-4504-AB5F-AADBE8F10C2B}"/>
    <cellStyle name="RISKtandbEdge 7 3 13" xfId="7698" xr:uid="{F8D946E8-C7E6-4825-87EC-E8AFAEC81204}"/>
    <cellStyle name="RISKtandbEdge 7 3 13 2" xfId="10831" xr:uid="{12A1EBA0-76F7-43F4-8E7A-0E2537CB3D08}"/>
    <cellStyle name="RISKtandbEdge 7 3 14" xfId="4582" xr:uid="{E90D5B8D-831B-4FE0-B599-F3989B05ECFC}"/>
    <cellStyle name="RISKtandbEdge 7 3 15" xfId="7802" xr:uid="{068D10BB-CCBE-4219-B27F-272B6A48ABA1}"/>
    <cellStyle name="RISKtandbEdge 7 3 16" xfId="11084" xr:uid="{2B329CDD-64F2-4619-8D15-53F266B15EAD}"/>
    <cellStyle name="RISKtandbEdge 7 3 17" xfId="11500" xr:uid="{68981AB0-25F0-45EF-87D4-2ED1F063147E}"/>
    <cellStyle name="RISKtandbEdge 7 3 18" xfId="11649" xr:uid="{32B964A5-5303-4825-AC37-4C25611624F5}"/>
    <cellStyle name="RISKtandbEdge 7 3 19" xfId="11768" xr:uid="{B4C0E406-A4C5-4FBF-B220-00B60D8F9BE1}"/>
    <cellStyle name="RISKtandbEdge 7 3 2" xfId="1601" xr:uid="{00000000-0005-0000-0000-0000D7060000}"/>
    <cellStyle name="RISKtandbEdge 7 3 2 2" xfId="3702" xr:uid="{089AE644-5258-4916-BA4F-B61EC3AA6810}"/>
    <cellStyle name="RISKtandbEdge 7 3 2 3" xfId="5010" xr:uid="{56A80F70-D90F-4CD3-AC81-91776CD0AD60}"/>
    <cellStyle name="RISKtandbEdge 7 3 2 4" xfId="8217" xr:uid="{407BE624-77F0-4020-9142-0E6D709DEC31}"/>
    <cellStyle name="RISKtandbEdge 7 3 20" xfId="12195" xr:uid="{6CA2D932-9D51-4534-8429-3EB92217190E}"/>
    <cellStyle name="RISKtandbEdge 7 3 21" xfId="12802" xr:uid="{9B47C6D1-1D25-4DAB-9020-6CE1CBE895C4}"/>
    <cellStyle name="RISKtandbEdge 7 3 22" xfId="12943" xr:uid="{AE778397-A55C-42C0-A743-65338B670B9C}"/>
    <cellStyle name="RISKtandbEdge 7 3 23" xfId="13305" xr:uid="{360F5EC1-166B-4737-BA00-0C4BA30FFC3F}"/>
    <cellStyle name="RISKtandbEdge 7 3 24" xfId="13434" xr:uid="{753FEE93-3335-4DAF-84FE-BF1EA88E9956}"/>
    <cellStyle name="RISKtandbEdge 7 3 3" xfId="1858" xr:uid="{00000000-0005-0000-0000-0000D8060000}"/>
    <cellStyle name="RISKtandbEdge 7 3 3 2" xfId="3958" xr:uid="{9FF9C5EA-EFEC-4E1D-AC0A-BE9CB65C21EF}"/>
    <cellStyle name="RISKtandbEdge 7 3 3 3" xfId="5262" xr:uid="{EC15B917-6AD7-4DEA-BB22-B2787A4DF4F1}"/>
    <cellStyle name="RISKtandbEdge 7 3 3 4" xfId="8456" xr:uid="{669AEC3F-503A-4407-88CE-B71DF517C6E8}"/>
    <cellStyle name="RISKtandbEdge 7 3 4" xfId="2112" xr:uid="{00000000-0005-0000-0000-0000D9060000}"/>
    <cellStyle name="RISKtandbEdge 7 3 4 2" xfId="4202" xr:uid="{4BB85699-211F-446E-BA0D-7ACA34BAD934}"/>
    <cellStyle name="RISKtandbEdge 7 3 4 3" xfId="5500" xr:uid="{42E8FFA9-6AF2-4C4C-AE67-A9CAAB4CAA96}"/>
    <cellStyle name="RISKtandbEdge 7 3 4 4" xfId="8692" xr:uid="{1BE98779-ADE8-4096-B840-D4765CDC2286}"/>
    <cellStyle name="RISKtandbEdge 7 3 5" xfId="2354" xr:uid="{0E20A5C2-DE80-40BD-82D1-7F89AD01AD79}"/>
    <cellStyle name="RISKtandbEdge 7 3 5 2" xfId="5736" xr:uid="{EAD7E202-0560-43AB-97E2-9E82AC201533}"/>
    <cellStyle name="RISKtandbEdge 7 3 5 3" xfId="8928" xr:uid="{B33F5E7B-2942-4727-950F-DE08D7D7EE08}"/>
    <cellStyle name="RISKtandbEdge 7 3 6" xfId="2590" xr:uid="{37B31266-E73C-4413-BA3C-26396324E911}"/>
    <cellStyle name="RISKtandbEdge 7 3 6 2" xfId="5966" xr:uid="{39898A50-4D87-4182-B465-BA3FED1F1FC4}"/>
    <cellStyle name="RISKtandbEdge 7 3 6 3" xfId="9158" xr:uid="{69ECAEFD-BBE2-4492-A8E0-16C87C1D1F4E}"/>
    <cellStyle name="RISKtandbEdge 7 3 7" xfId="2829" xr:uid="{5657D84C-A84A-4E51-8F57-3E0BEB0225A4}"/>
    <cellStyle name="RISKtandbEdge 7 3 7 2" xfId="6199" xr:uid="{17F5947C-EDE0-44BE-A95E-FAA91A556B38}"/>
    <cellStyle name="RISKtandbEdge 7 3 7 3" xfId="9388" xr:uid="{80AB60DB-A0C5-40AC-AA9F-7CE5DBD2AE34}"/>
    <cellStyle name="RISKtandbEdge 7 3 8" xfId="3276" xr:uid="{F62AA73A-4356-4D78-BEC8-E5270E32CEE2}"/>
    <cellStyle name="RISKtandbEdge 7 3 8 2" xfId="6432" xr:uid="{78A96E9F-EF3E-45FC-9ED2-4A83BBB8D857}"/>
    <cellStyle name="RISKtandbEdge 7 3 8 3" xfId="9618" xr:uid="{62BC6EC1-19B7-4B10-83EF-C20EE0B25FC4}"/>
    <cellStyle name="RISKtandbEdge 7 3 9" xfId="6695" xr:uid="{04878283-FDC7-41A1-BF63-710618FB4171}"/>
    <cellStyle name="RISKtandbEdge 7 3 9 2" xfId="9860" xr:uid="{7A9C73BE-BDC6-4799-A903-591910699804}"/>
    <cellStyle name="RISKtandbEdge 7 4" xfId="1599" xr:uid="{00000000-0005-0000-0000-0000DA060000}"/>
    <cellStyle name="RISKtandbEdge 7 4 2" xfId="3700" xr:uid="{76C028F5-FD35-4109-A388-8E7529530CED}"/>
    <cellStyle name="RISKtandbEdge 7 4 3" xfId="5008" xr:uid="{D0C8EFC3-7D5D-4ACC-B967-5F5BC6A478AB}"/>
    <cellStyle name="RISKtandbEdge 7 4 4" xfId="8215" xr:uid="{A63C5762-AF69-4D66-9436-96C3508826CD}"/>
    <cellStyle name="RISKtandbEdge 7 5" xfId="1856" xr:uid="{00000000-0005-0000-0000-0000DB060000}"/>
    <cellStyle name="RISKtandbEdge 7 5 2" xfId="3956" xr:uid="{8D82067D-51DC-4419-AA10-E960FEBC260B}"/>
    <cellStyle name="RISKtandbEdge 7 5 3" xfId="5260" xr:uid="{92EBDAA4-A8FD-4D59-AF2F-0B375880A26E}"/>
    <cellStyle name="RISKtandbEdge 7 5 4" xfId="8454" xr:uid="{8329AAB3-E184-454E-8804-EA275B8439ED}"/>
    <cellStyle name="RISKtandbEdge 7 6" xfId="2110" xr:uid="{00000000-0005-0000-0000-0000DC060000}"/>
    <cellStyle name="RISKtandbEdge 7 6 2" xfId="4200" xr:uid="{89A51C61-0FEC-4FBC-AAB0-5D9083CCAE0E}"/>
    <cellStyle name="RISKtandbEdge 7 6 3" xfId="5498" xr:uid="{26AF4D5A-C740-4DDF-8C63-1F3489D5E956}"/>
    <cellStyle name="RISKtandbEdge 7 6 4" xfId="8690" xr:uid="{F2D66471-00B9-43C2-837A-861FF4D57BCD}"/>
    <cellStyle name="RISKtandbEdge 7 7" xfId="2352" xr:uid="{3C044017-F97A-4A05-9AA5-6C6A38C140EF}"/>
    <cellStyle name="RISKtandbEdge 7 7 2" xfId="5734" xr:uid="{5521488A-7D9C-4BE4-A34F-9297DAEFBCB7}"/>
    <cellStyle name="RISKtandbEdge 7 7 3" xfId="8926" xr:uid="{167602AF-06C8-4587-AA93-1AEBABBFF08D}"/>
    <cellStyle name="RISKtandbEdge 7 8" xfId="2588" xr:uid="{CCA6908E-0097-4873-BED3-B2371C191813}"/>
    <cellStyle name="RISKtandbEdge 7 8 2" xfId="5964" xr:uid="{05458978-579F-4CE1-AE35-EA5FDEE22220}"/>
    <cellStyle name="RISKtandbEdge 7 8 3" xfId="9156" xr:uid="{C6BF4A00-AA05-4DCB-8461-AC98251BBDD2}"/>
    <cellStyle name="RISKtandbEdge 7 9" xfId="2827" xr:uid="{8AAC8163-9F09-4EB7-9186-4AE6727E4912}"/>
    <cellStyle name="RISKtandbEdge 7 9 2" xfId="6197" xr:uid="{7272A741-0031-457D-9123-3B275144885F}"/>
    <cellStyle name="RISKtandbEdge 7 9 3" xfId="9386" xr:uid="{E6796191-87E8-4010-893C-5C9BD4B605C9}"/>
    <cellStyle name="RISKtandbEdge 8" xfId="1094" xr:uid="{00000000-0005-0000-0000-0000DD060000}"/>
    <cellStyle name="RISKtandbEdge 8 10" xfId="6958" xr:uid="{78276F25-51CC-478E-BFBF-77C269F95423}"/>
    <cellStyle name="RISKtandbEdge 8 10 2" xfId="10103" xr:uid="{EA3697FD-99C6-46CB-981C-CB53FFDF1369}"/>
    <cellStyle name="RISKtandbEdge 8 11" xfId="7061" xr:uid="{1E21DDED-89C9-46DE-AFA2-0E9C668E50F5}"/>
    <cellStyle name="RISKtandbEdge 8 11 2" xfId="10206" xr:uid="{38A856DE-1C93-4BF9-B9CE-9B1B0DAB6651}"/>
    <cellStyle name="RISKtandbEdge 8 12" xfId="7561" xr:uid="{1E901D48-143F-4292-9F5B-81F3B03011CD}"/>
    <cellStyle name="RISKtandbEdge 8 12 2" xfId="10695" xr:uid="{BD01575B-451B-4BE6-932A-1A17CD7F6D67}"/>
    <cellStyle name="RISKtandbEdge 8 13" xfId="7699" xr:uid="{6AA512A9-EDD2-40EE-98FA-EF966204F7A5}"/>
    <cellStyle name="RISKtandbEdge 8 13 2" xfId="10832" xr:uid="{2ACD9E57-D331-40E2-8254-7BC2B8682D75}"/>
    <cellStyle name="RISKtandbEdge 8 14" xfId="4583" xr:uid="{B5956028-88C7-49C9-9673-6F6557757C13}"/>
    <cellStyle name="RISKtandbEdge 8 15" xfId="7803" xr:uid="{833A781F-46E0-4668-B118-12B734A6DC3D}"/>
    <cellStyle name="RISKtandbEdge 8 16" xfId="11085" xr:uid="{816A9D44-64D7-454E-9857-D68CD188B59A}"/>
    <cellStyle name="RISKtandbEdge 8 17" xfId="11501" xr:uid="{D4BBBE6D-E2DF-4880-9F15-25DBBDBCB66A}"/>
    <cellStyle name="RISKtandbEdge 8 18" xfId="11650" xr:uid="{71769E78-9759-4A77-961C-FB519BFA74D2}"/>
    <cellStyle name="RISKtandbEdge 8 19" xfId="11769" xr:uid="{D67B8B43-D687-4017-9C89-5F9BD6588F66}"/>
    <cellStyle name="RISKtandbEdge 8 2" xfId="1602" xr:uid="{00000000-0005-0000-0000-0000DE060000}"/>
    <cellStyle name="RISKtandbEdge 8 2 2" xfId="3703" xr:uid="{0D705E36-8F7D-4DCC-BBBD-6D4A42BCE95F}"/>
    <cellStyle name="RISKtandbEdge 8 2 3" xfId="5011" xr:uid="{5C99BE6C-16DC-475C-BEB0-1900CA8A5D21}"/>
    <cellStyle name="RISKtandbEdge 8 2 4" xfId="8218" xr:uid="{92FB45FF-A6BF-416D-BE31-78ADD7EEFC4C}"/>
    <cellStyle name="RISKtandbEdge 8 20" xfId="12196" xr:uid="{307DFC62-6948-4D3C-98B4-DF1B704A92AE}"/>
    <cellStyle name="RISKtandbEdge 8 21" xfId="12803" xr:uid="{7C3B36EA-AC14-4B99-8F58-A1C51E5F62A9}"/>
    <cellStyle name="RISKtandbEdge 8 22" xfId="12944" xr:uid="{32E51E91-9217-48B6-ADAF-F89D4A0FE1D2}"/>
    <cellStyle name="RISKtandbEdge 8 23" xfId="13306" xr:uid="{29BA2761-5200-45A0-AB4B-C9A1B4131E59}"/>
    <cellStyle name="RISKtandbEdge 8 24" xfId="13435" xr:uid="{AB9155FA-EE37-4408-BABF-BF266B782686}"/>
    <cellStyle name="RISKtandbEdge 8 3" xfId="1859" xr:uid="{00000000-0005-0000-0000-0000DF060000}"/>
    <cellStyle name="RISKtandbEdge 8 3 2" xfId="3959" xr:uid="{41140F8F-C2D9-4C5E-AE0F-3B9654C82E72}"/>
    <cellStyle name="RISKtandbEdge 8 3 3" xfId="5263" xr:uid="{5456FA23-6DE9-472C-B2A4-78516EEECFAA}"/>
    <cellStyle name="RISKtandbEdge 8 3 4" xfId="8457" xr:uid="{AA1446DA-2510-4A2D-A75B-7AC612CB1E2A}"/>
    <cellStyle name="RISKtandbEdge 8 4" xfId="2113" xr:uid="{00000000-0005-0000-0000-0000E0060000}"/>
    <cellStyle name="RISKtandbEdge 8 4 2" xfId="4203" xr:uid="{17F3AE40-DDF8-473E-9C85-2324BA8B0490}"/>
    <cellStyle name="RISKtandbEdge 8 4 3" xfId="5501" xr:uid="{A846E59D-D40D-4FE1-AC7C-ACA2BF871E9F}"/>
    <cellStyle name="RISKtandbEdge 8 4 4" xfId="8693" xr:uid="{DC8E14A4-9082-42A8-B0B8-E4806715DD66}"/>
    <cellStyle name="RISKtandbEdge 8 5" xfId="2355" xr:uid="{F80ABD33-D19C-44F0-AA13-E5682C48A1E4}"/>
    <cellStyle name="RISKtandbEdge 8 5 2" xfId="5737" xr:uid="{40070038-57AB-406F-81CE-EE0724B94E37}"/>
    <cellStyle name="RISKtandbEdge 8 5 3" xfId="8929" xr:uid="{58BDCDB8-80DC-4955-A85C-99A8DC819F46}"/>
    <cellStyle name="RISKtandbEdge 8 6" xfId="2591" xr:uid="{F9D1DC8F-D588-402A-85C6-FE7A3EE0C179}"/>
    <cellStyle name="RISKtandbEdge 8 6 2" xfId="5967" xr:uid="{6A4E64B6-2D0F-4B13-B195-017547F28E5F}"/>
    <cellStyle name="RISKtandbEdge 8 6 3" xfId="9159" xr:uid="{53B3385E-9A94-4739-9F95-CB28D4330D70}"/>
    <cellStyle name="RISKtandbEdge 8 7" xfId="2830" xr:uid="{0636C1E9-5E89-4B9D-82B3-A944DBDDBF7C}"/>
    <cellStyle name="RISKtandbEdge 8 7 2" xfId="6200" xr:uid="{3C9AC882-2B2D-4AD4-9179-7FCD145B03ED}"/>
    <cellStyle name="RISKtandbEdge 8 7 3" xfId="9389" xr:uid="{1A5E348A-FA20-4C5E-B707-74845A4CDC24}"/>
    <cellStyle name="RISKtandbEdge 8 8" xfId="3277" xr:uid="{416A2D79-5820-496F-9A9D-25202CDC4E59}"/>
    <cellStyle name="RISKtandbEdge 8 8 2" xfId="6433" xr:uid="{32A93234-640D-4C25-8D2A-2A7B4B1F9BE3}"/>
    <cellStyle name="RISKtandbEdge 8 8 3" xfId="9619" xr:uid="{3FA056C1-B2FA-4955-B806-807A55F9F926}"/>
    <cellStyle name="RISKtandbEdge 8 9" xfId="6696" xr:uid="{9B4B907C-CC6D-40CC-8852-BBFD19678F99}"/>
    <cellStyle name="RISKtandbEdge 8 9 2" xfId="9861" xr:uid="{BED411B9-E392-4D43-A752-5DC446810C49}"/>
    <cellStyle name="RISKtandbEdge 9" xfId="1588" xr:uid="{00000000-0005-0000-0000-0000E1060000}"/>
    <cellStyle name="RISKtandbEdge 9 2" xfId="3689" xr:uid="{2BD372A3-6FA9-4BC2-85F1-691E04E1D9FD}"/>
    <cellStyle name="RISKtandbEdge 9 3" xfId="4997" xr:uid="{5AB428B5-0AD7-480A-8122-0C4EA2FB050F}"/>
    <cellStyle name="RISKtandbEdge 9 4" xfId="8204" xr:uid="{CB707C51-E36E-4795-A4A9-5C75851A438F}"/>
    <cellStyle name="RISKtlandrEdge" xfId="1095" xr:uid="{00000000-0005-0000-0000-0000E2060000}"/>
    <cellStyle name="RISKtlandrEdge 10" xfId="1603" xr:uid="{00000000-0005-0000-0000-0000E3060000}"/>
    <cellStyle name="RISKtlandrEdge 10 2" xfId="3704" xr:uid="{B75E1AA8-92D9-4293-A568-CE88FF781B42}"/>
    <cellStyle name="RISKtlandrEdge 10 3" xfId="5012" xr:uid="{C3F713DA-1A42-4539-A7B7-6324A3E6A82F}"/>
    <cellStyle name="RISKtlandrEdge 10 4" xfId="8219" xr:uid="{3888EE23-6DB6-442E-88ED-75B66980DAB7}"/>
    <cellStyle name="RISKtlandrEdge 11" xfId="1860" xr:uid="{00000000-0005-0000-0000-0000E4060000}"/>
    <cellStyle name="RISKtlandrEdge 11 2" xfId="3960" xr:uid="{B5C8ED6D-5A50-4B0C-8C88-32A4D7ADE3FF}"/>
    <cellStyle name="RISKtlandrEdge 11 3" xfId="5264" xr:uid="{BBECA40B-7D41-44F0-B036-D1DC60BBA312}"/>
    <cellStyle name="RISKtlandrEdge 11 4" xfId="8458" xr:uid="{2B47FC01-1310-4AD5-87C8-2C2E06691315}"/>
    <cellStyle name="RISKtlandrEdge 12" xfId="2114" xr:uid="{00000000-0005-0000-0000-0000E5060000}"/>
    <cellStyle name="RISKtlandrEdge 12 2" xfId="4204" xr:uid="{FA65B186-A471-4744-9493-22133CC5BE27}"/>
    <cellStyle name="RISKtlandrEdge 12 3" xfId="5502" xr:uid="{DC05387F-366D-499F-B1C0-C8CE0BBC55B2}"/>
    <cellStyle name="RISKtlandrEdge 12 4" xfId="8694" xr:uid="{78750816-2241-47D2-85C8-9F1389CDE217}"/>
    <cellStyle name="RISKtlandrEdge 13" xfId="2356" xr:uid="{55FCAF6B-86D6-40E0-8E9F-4765132C093D}"/>
    <cellStyle name="RISKtlandrEdge 13 2" xfId="5738" xr:uid="{4E0810A0-3A12-49CB-B053-97B1E4EA066F}"/>
    <cellStyle name="RISKtlandrEdge 13 3" xfId="8930" xr:uid="{B19BDDC0-E0D2-41B9-BF4C-2E22339EB165}"/>
    <cellStyle name="RISKtlandrEdge 14" xfId="2592" xr:uid="{16D48EF8-ABA9-4E74-A5DE-512AE4A2441C}"/>
    <cellStyle name="RISKtlandrEdge 14 2" xfId="5968" xr:uid="{22D749EE-456C-4913-82A3-43E3FCE780BC}"/>
    <cellStyle name="RISKtlandrEdge 14 3" xfId="9160" xr:uid="{4F4801EC-9EB1-4FE3-870F-F06D25C7ABEC}"/>
    <cellStyle name="RISKtlandrEdge 15" xfId="2831" xr:uid="{E37DB9AD-B9C0-4EE8-810E-83491A169D88}"/>
    <cellStyle name="RISKtlandrEdge 15 2" xfId="6201" xr:uid="{35C30D69-C76B-4E0F-B50A-2C6DD136C769}"/>
    <cellStyle name="RISKtlandrEdge 15 3" xfId="9390" xr:uid="{2C741BD1-B9D6-49A7-A879-2CC0B80AB76B}"/>
    <cellStyle name="RISKtlandrEdge 16" xfId="3036" xr:uid="{EB09CB3D-7E0B-4047-93D4-6F91A3256C54}"/>
    <cellStyle name="RISKtlandrEdge 16 2" xfId="6434" xr:uid="{542A9943-A524-445C-9383-DF5575A18990}"/>
    <cellStyle name="RISKtlandrEdge 16 3" xfId="9620" xr:uid="{3A7357F2-2BA0-43F4-B6DD-2AE1E45207FB}"/>
    <cellStyle name="RISKtlandrEdge 17" xfId="3278" xr:uid="{7A7487FD-0EEB-4E29-880C-FBA57A08F58A}"/>
    <cellStyle name="RISKtlandrEdge 17 2" xfId="6697" xr:uid="{5F904E1E-9D1D-409A-B5A0-CCCB15901B12}"/>
    <cellStyle name="RISKtlandrEdge 17 3" xfId="9862" xr:uid="{A51FDC58-142F-42D6-AC59-936602DFFAF9}"/>
    <cellStyle name="RISKtlandrEdge 18" xfId="6959" xr:uid="{DEC984B1-E59B-4547-819E-CC98AD8F4170}"/>
    <cellStyle name="RISKtlandrEdge 18 2" xfId="10104" xr:uid="{A5741564-9E3A-4570-BF90-C0CEA8B6C153}"/>
    <cellStyle name="RISKtlandrEdge 19" xfId="7208" xr:uid="{340218F6-B357-4210-A9AD-DFE6B57973B8}"/>
    <cellStyle name="RISKtlandrEdge 19 2" xfId="10347" xr:uid="{6556BF1C-FCE5-48B2-A3D9-569672C3C08D}"/>
    <cellStyle name="RISKtlandrEdge 2" xfId="1096" xr:uid="{00000000-0005-0000-0000-0000E6060000}"/>
    <cellStyle name="RISKtlandrEdge 2 10" xfId="3037" xr:uid="{CC5D5CD4-0AE7-477B-9EC8-739F8B107441}"/>
    <cellStyle name="RISKtlandrEdge 2 10 2" xfId="6435" xr:uid="{9371EE44-7356-4964-B8D3-D365521CE102}"/>
    <cellStyle name="RISKtlandrEdge 2 10 3" xfId="9621" xr:uid="{0EFD5224-58A1-4D78-A06F-0DD9D8A0B2F2}"/>
    <cellStyle name="RISKtlandrEdge 2 11" xfId="3279" xr:uid="{071D1A7E-7F3C-4094-A4FE-3F77CB87B5F8}"/>
    <cellStyle name="RISKtlandrEdge 2 11 2" xfId="6698" xr:uid="{441DDBDD-11E9-4E18-989A-6DB6AC1D4F3E}"/>
    <cellStyle name="RISKtlandrEdge 2 11 3" xfId="9863" xr:uid="{1B900790-E306-42CE-BF0D-58BB5C3E6E05}"/>
    <cellStyle name="RISKtlandrEdge 2 12" xfId="6960" xr:uid="{FBE0889F-4022-4D6C-A14D-70AA50A7C565}"/>
    <cellStyle name="RISKtlandrEdge 2 12 2" xfId="10105" xr:uid="{77331F9B-750A-44C9-9A16-DA5F96F1CBD1}"/>
    <cellStyle name="RISKtlandrEdge 2 13" xfId="7209" xr:uid="{6E8385C7-AACC-4B45-849B-E5C4542A6E55}"/>
    <cellStyle name="RISKtlandrEdge 2 13 2" xfId="10348" xr:uid="{7035DB2F-E793-4F43-9D1A-9F347BD6D857}"/>
    <cellStyle name="RISKtlandrEdge 2 14" xfId="7563" xr:uid="{787B27FD-28C2-4740-8378-395DD0EB25F4}"/>
    <cellStyle name="RISKtlandrEdge 2 14 2" xfId="10697" xr:uid="{AC992BE6-C0DD-4B5E-B165-416D52EBD0D1}"/>
    <cellStyle name="RISKtlandrEdge 2 15" xfId="7701" xr:uid="{995ECC12-4E7C-457A-B2A5-4CFA2E5E186D}"/>
    <cellStyle name="RISKtlandrEdge 2 15 2" xfId="10834" xr:uid="{24104DB5-D072-4B74-B591-0C8C21453CE0}"/>
    <cellStyle name="RISKtlandrEdge 2 16" xfId="4585" xr:uid="{7C82507E-D90A-4812-9C19-363B17B8ED2D}"/>
    <cellStyle name="RISKtlandrEdge 2 17" xfId="7805" xr:uid="{4129441F-B60E-41D9-9873-9BC9B1C56A32}"/>
    <cellStyle name="RISKtlandrEdge 2 18" xfId="11087" xr:uid="{A5C17C99-C175-4D92-8BF3-66DE9A36C75A}"/>
    <cellStyle name="RISKtlandrEdge 2 19" xfId="11503" xr:uid="{9CE0399F-0D5E-4D99-9792-38A8191722C8}"/>
    <cellStyle name="RISKtlandrEdge 2 2" xfId="1097" xr:uid="{00000000-0005-0000-0000-0000E7060000}"/>
    <cellStyle name="RISKtlandrEdge 2 2 10" xfId="3280" xr:uid="{9179186C-6E02-4B32-AC58-AAE03EB31316}"/>
    <cellStyle name="RISKtlandrEdge 2 2 10 2" xfId="6699" xr:uid="{D8702879-1384-4C10-B8C9-8A95B9C0B479}"/>
    <cellStyle name="RISKtlandrEdge 2 2 10 3" xfId="9864" xr:uid="{1F6E330C-9975-4979-995D-03C33DBFE47F}"/>
    <cellStyle name="RISKtlandrEdge 2 2 11" xfId="6961" xr:uid="{69022F98-EEF7-4DB9-97E7-767EB6783D07}"/>
    <cellStyle name="RISKtlandrEdge 2 2 11 2" xfId="10106" xr:uid="{87B7A272-2C7E-448F-8E7B-C58D5FAC26D9}"/>
    <cellStyle name="RISKtlandrEdge 2 2 12" xfId="7210" xr:uid="{DB560A15-0A7D-43C9-822C-F1625B8D0BCB}"/>
    <cellStyle name="RISKtlandrEdge 2 2 12 2" xfId="10349" xr:uid="{70ACC80D-C3CB-43E4-8C04-144CAC1D389A}"/>
    <cellStyle name="RISKtlandrEdge 2 2 13" xfId="7564" xr:uid="{7C7E1917-90D2-4CF7-AB0E-7688320A271B}"/>
    <cellStyle name="RISKtlandrEdge 2 2 13 2" xfId="10698" xr:uid="{E5359D68-A638-4DD3-A37D-58EF735D6222}"/>
    <cellStyle name="RISKtlandrEdge 2 2 14" xfId="7702" xr:uid="{AA14D3BE-1D0A-4107-A603-F88D6ECEEAC8}"/>
    <cellStyle name="RISKtlandrEdge 2 2 14 2" xfId="10835" xr:uid="{72604AF1-4E01-403D-BF8A-842B18A6B4F1}"/>
    <cellStyle name="RISKtlandrEdge 2 2 15" xfId="4586" xr:uid="{E591260B-924E-4C40-AEB7-81FEC0C3C6D1}"/>
    <cellStyle name="RISKtlandrEdge 2 2 16" xfId="7806" xr:uid="{CD01AB4E-9770-47D5-A0C2-54E331E62457}"/>
    <cellStyle name="RISKtlandrEdge 2 2 17" xfId="11088" xr:uid="{876047D9-F5C0-4655-9B9F-50CA20EFD91D}"/>
    <cellStyle name="RISKtlandrEdge 2 2 18" xfId="11504" xr:uid="{75C9B016-7851-4550-A056-4EF228D1332C}"/>
    <cellStyle name="RISKtlandrEdge 2 2 19" xfId="11653" xr:uid="{4A16BAAD-6405-42D0-AE0B-F5BDC57BDF77}"/>
    <cellStyle name="RISKtlandrEdge 2 2 2" xfId="1356" xr:uid="{00000000-0005-0000-0000-0000E8060000}"/>
    <cellStyle name="RISKtlandrEdge 2 2 2 2" xfId="3467" xr:uid="{5DABC4F7-36DE-4928-8F11-DDAA380F32E1}"/>
    <cellStyle name="RISKtlandrEdge 2 2 2 3" xfId="4773" xr:uid="{2D4E49A0-ED09-48C8-A842-A7154FB2B900}"/>
    <cellStyle name="RISKtlandrEdge 2 2 2 4" xfId="7983" xr:uid="{E9772D2C-0C96-470C-9E90-262BA369FD74}"/>
    <cellStyle name="RISKtlandrEdge 2 2 20" xfId="11947" xr:uid="{5AC0878F-1770-4BD7-AC5B-1E20E1D020EF}"/>
    <cellStyle name="RISKtlandrEdge 2 2 21" xfId="12199" xr:uid="{48ABD530-889E-4FE0-8F99-A886F99E1E2F}"/>
    <cellStyle name="RISKtlandrEdge 2 2 22" xfId="12641" xr:uid="{5AE50F7F-D4A8-4C94-9F89-A44D06F47617}"/>
    <cellStyle name="RISKtlandrEdge 2 2 23" xfId="12806" xr:uid="{BD829C97-7DC4-4E5A-97A9-785731B3979F}"/>
    <cellStyle name="RISKtlandrEdge 2 2 24" xfId="12947" xr:uid="{CA716A1B-1A95-44B5-B8AB-1D489D401FA8}"/>
    <cellStyle name="RISKtlandrEdge 2 2 25" xfId="13309" xr:uid="{CBCC9D71-0468-4A83-97AA-8C3777E3EFEF}"/>
    <cellStyle name="RISKtlandrEdge 2 2 26" xfId="13438" xr:uid="{19D9C47A-8EA3-493E-93D8-B86B8D0754CC}"/>
    <cellStyle name="RISKtlandrEdge 2 2 3" xfId="1605" xr:uid="{00000000-0005-0000-0000-0000E9060000}"/>
    <cellStyle name="RISKtlandrEdge 2 2 3 2" xfId="3706" xr:uid="{CAE27179-D89D-4D79-999A-C1EC67F868D6}"/>
    <cellStyle name="RISKtlandrEdge 2 2 3 3" xfId="5014" xr:uid="{B0585892-6E79-48C4-A668-7B2636E58CED}"/>
    <cellStyle name="RISKtlandrEdge 2 2 3 4" xfId="8221" xr:uid="{AE908CC5-3FA2-4D97-A198-FA36B5CCE2D1}"/>
    <cellStyle name="RISKtlandrEdge 2 2 4" xfId="1862" xr:uid="{00000000-0005-0000-0000-0000EA060000}"/>
    <cellStyle name="RISKtlandrEdge 2 2 4 2" xfId="3962" xr:uid="{F6262523-3BE6-4F38-8AA2-C6BA6B8EF473}"/>
    <cellStyle name="RISKtlandrEdge 2 2 4 3" xfId="5266" xr:uid="{35D1434D-C0E9-4E65-826E-9AE2CE73A536}"/>
    <cellStyle name="RISKtlandrEdge 2 2 4 4" xfId="8460" xr:uid="{702BC94C-0826-43B1-9560-586AEBBA645B}"/>
    <cellStyle name="RISKtlandrEdge 2 2 5" xfId="2116" xr:uid="{00000000-0005-0000-0000-0000EB060000}"/>
    <cellStyle name="RISKtlandrEdge 2 2 5 2" xfId="4206" xr:uid="{1C01C4F5-530B-404A-AAE4-45DB2FB8B15B}"/>
    <cellStyle name="RISKtlandrEdge 2 2 5 3" xfId="5504" xr:uid="{325A4FE1-E719-4F42-9C5F-3CA1B6159328}"/>
    <cellStyle name="RISKtlandrEdge 2 2 5 4" xfId="8696" xr:uid="{F9316C86-6246-4651-9245-6CC9805CC8D3}"/>
    <cellStyle name="RISKtlandrEdge 2 2 6" xfId="2358" xr:uid="{17D9826A-E4D6-4993-84DD-37B78818C848}"/>
    <cellStyle name="RISKtlandrEdge 2 2 6 2" xfId="5740" xr:uid="{018A9CF3-DB3C-40FD-B65D-29DF9F811049}"/>
    <cellStyle name="RISKtlandrEdge 2 2 6 3" xfId="8932" xr:uid="{A8A58558-EFD6-4769-A314-0E1D186AD292}"/>
    <cellStyle name="RISKtlandrEdge 2 2 7" xfId="2594" xr:uid="{8CB89F19-DB98-4755-830D-20832D1AA86A}"/>
    <cellStyle name="RISKtlandrEdge 2 2 7 2" xfId="5970" xr:uid="{F2BA7D49-659C-4F1A-998D-C6947B08F12E}"/>
    <cellStyle name="RISKtlandrEdge 2 2 7 3" xfId="9162" xr:uid="{71064210-6A66-4902-BB09-D5EB0959FE71}"/>
    <cellStyle name="RISKtlandrEdge 2 2 8" xfId="2833" xr:uid="{4EB40202-89D9-456A-AB97-D8BED0592678}"/>
    <cellStyle name="RISKtlandrEdge 2 2 8 2" xfId="6203" xr:uid="{3E9AA547-04BA-4B8F-BB3E-DEA0C860D8EF}"/>
    <cellStyle name="RISKtlandrEdge 2 2 8 3" xfId="9392" xr:uid="{FEB56478-F431-409E-BB3E-0A4DA7D76D5E}"/>
    <cellStyle name="RISKtlandrEdge 2 2 9" xfId="3038" xr:uid="{89389D5D-FED5-4A46-907F-A6D845334421}"/>
    <cellStyle name="RISKtlandrEdge 2 2 9 2" xfId="6436" xr:uid="{A3301E6C-82B0-439A-AA12-8E9EC1327044}"/>
    <cellStyle name="RISKtlandrEdge 2 2 9 3" xfId="9622" xr:uid="{AFCEADE5-275F-4F14-B698-05AA7654D31D}"/>
    <cellStyle name="RISKtlandrEdge 2 20" xfId="11652" xr:uid="{139CE916-0736-4AE4-8FCC-D6A7F2B56B26}"/>
    <cellStyle name="RISKtlandrEdge 2 21" xfId="11946" xr:uid="{DEF15A35-C1CA-4297-941E-6F899C8C8677}"/>
    <cellStyle name="RISKtlandrEdge 2 22" xfId="12198" xr:uid="{8A3D2C9E-C16E-45F5-B616-4E7F523804CC}"/>
    <cellStyle name="RISKtlandrEdge 2 23" xfId="12640" xr:uid="{19FBB3CB-1398-4372-8454-138651D8CAFC}"/>
    <cellStyle name="RISKtlandrEdge 2 24" xfId="12805" xr:uid="{0194A4C3-E9A5-4E10-AAE6-593A713DB7A5}"/>
    <cellStyle name="RISKtlandrEdge 2 25" xfId="12946" xr:uid="{06120B31-6D3E-4293-9E0E-38CC1A96A4B9}"/>
    <cellStyle name="RISKtlandrEdge 2 26" xfId="13308" xr:uid="{91488967-FDF1-487C-8BDA-797046810D7A}"/>
    <cellStyle name="RISKtlandrEdge 2 27" xfId="13437" xr:uid="{7EF94755-F3D9-4F1D-BE52-1B94D8A3ECDA}"/>
    <cellStyle name="RISKtlandrEdge 2 3" xfId="1355" xr:uid="{00000000-0005-0000-0000-0000EC060000}"/>
    <cellStyle name="RISKtlandrEdge 2 3 2" xfId="3466" xr:uid="{6EEFB0BF-CCA8-4F02-A9D7-9F762116D84F}"/>
    <cellStyle name="RISKtlandrEdge 2 3 3" xfId="4772" xr:uid="{2D3D7576-66A9-46EC-A7E8-837576A9837E}"/>
    <cellStyle name="RISKtlandrEdge 2 3 4" xfId="7982" xr:uid="{45481ED1-4B19-4ED4-B08F-51476B89A645}"/>
    <cellStyle name="RISKtlandrEdge 2 4" xfId="1604" xr:uid="{00000000-0005-0000-0000-0000ED060000}"/>
    <cellStyle name="RISKtlandrEdge 2 4 2" xfId="3705" xr:uid="{C92DDE04-697F-41E4-9B70-8D246F6C6CFF}"/>
    <cellStyle name="RISKtlandrEdge 2 4 3" xfId="5013" xr:uid="{68C912B7-9BEE-43B6-9960-9C8F82128721}"/>
    <cellStyle name="RISKtlandrEdge 2 4 4" xfId="8220" xr:uid="{20896EDC-2F70-49B4-ABB0-E2BD8164E87E}"/>
    <cellStyle name="RISKtlandrEdge 2 5" xfId="1861" xr:uid="{00000000-0005-0000-0000-0000EE060000}"/>
    <cellStyle name="RISKtlandrEdge 2 5 2" xfId="3961" xr:uid="{3767B4B3-35EA-4162-8849-F5E924F41013}"/>
    <cellStyle name="RISKtlandrEdge 2 5 3" xfId="5265" xr:uid="{E38797E4-7928-4677-B8E8-4C30EF0CB57D}"/>
    <cellStyle name="RISKtlandrEdge 2 5 4" xfId="8459" xr:uid="{DD3C3F35-C2C7-4041-BD6C-A4E4A255679C}"/>
    <cellStyle name="RISKtlandrEdge 2 6" xfId="2115" xr:uid="{00000000-0005-0000-0000-0000EF060000}"/>
    <cellStyle name="RISKtlandrEdge 2 6 2" xfId="4205" xr:uid="{6760FC83-470E-4796-A216-3393375BBF12}"/>
    <cellStyle name="RISKtlandrEdge 2 6 3" xfId="5503" xr:uid="{48345754-1A0A-4988-93D4-9F726E8BF379}"/>
    <cellStyle name="RISKtlandrEdge 2 6 4" xfId="8695" xr:uid="{5AE8FED3-917C-4ADE-98B3-EE69C9B59B33}"/>
    <cellStyle name="RISKtlandrEdge 2 7" xfId="2357" xr:uid="{7BC2E26A-7A79-45B4-A47B-3D3FFE35311F}"/>
    <cellStyle name="RISKtlandrEdge 2 7 2" xfId="5739" xr:uid="{CA67BACF-64E9-48DE-BD1D-C4D62CC9C2E3}"/>
    <cellStyle name="RISKtlandrEdge 2 7 3" xfId="8931" xr:uid="{B6FDA4C5-A6F5-4BA6-BE10-65E30FEB9100}"/>
    <cellStyle name="RISKtlandrEdge 2 8" xfId="2593" xr:uid="{87A7145A-A89E-4BCA-B6BB-C23CB337D3B5}"/>
    <cellStyle name="RISKtlandrEdge 2 8 2" xfId="5969" xr:uid="{980E3640-93F3-45CF-91DE-1008D7D6EF52}"/>
    <cellStyle name="RISKtlandrEdge 2 8 3" xfId="9161" xr:uid="{C8FB6156-ED56-431D-A6C8-81B502594DAC}"/>
    <cellStyle name="RISKtlandrEdge 2 9" xfId="2832" xr:uid="{F2D131B8-2D53-4C3A-86C7-303D0542B950}"/>
    <cellStyle name="RISKtlandrEdge 2 9 2" xfId="6202" xr:uid="{FCB44E8A-39E3-4BDB-BD5F-0F623A84483B}"/>
    <cellStyle name="RISKtlandrEdge 2 9 3" xfId="9391" xr:uid="{34DDE1F5-E211-4C59-BB9D-27338EE0C046}"/>
    <cellStyle name="RISKtlandrEdge 20" xfId="7562" xr:uid="{030F4755-E31D-41B6-9443-B45D9B6F69DC}"/>
    <cellStyle name="RISKtlandrEdge 20 2" xfId="10696" xr:uid="{F45DA341-0E38-4DF0-AF97-496F4E9F70BE}"/>
    <cellStyle name="RISKtlandrEdge 21" xfId="7700" xr:uid="{564B35F3-3170-4E8D-B670-C4CE086E9FA1}"/>
    <cellStyle name="RISKtlandrEdge 21 2" xfId="10833" xr:uid="{13C44977-B398-48FB-9096-CCF8967B68E2}"/>
    <cellStyle name="RISKtlandrEdge 22" xfId="4584" xr:uid="{EB24D6AF-F9C5-486C-8788-1B36EDA4482F}"/>
    <cellStyle name="RISKtlandrEdge 23" xfId="7804" xr:uid="{77B145D0-4264-4770-9BE8-BBCB9C9F7E13}"/>
    <cellStyle name="RISKtlandrEdge 24" xfId="11086" xr:uid="{F81D9443-2D63-4BAD-90D8-450D54CF3B3E}"/>
    <cellStyle name="RISKtlandrEdge 25" xfId="11502" xr:uid="{B3DBCE57-D1F6-42ED-8997-9F453791CB78}"/>
    <cellStyle name="RISKtlandrEdge 26" xfId="11651" xr:uid="{E3586963-7ED2-4F84-9336-0F122D663B63}"/>
    <cellStyle name="RISKtlandrEdge 27" xfId="11945" xr:uid="{4EB130CB-DB8C-48A7-B635-3FE5E20333E5}"/>
    <cellStyle name="RISKtlandrEdge 28" xfId="12197" xr:uid="{2CE19CB0-C3BB-4167-A554-52C95C6EF065}"/>
    <cellStyle name="RISKtlandrEdge 29" xfId="12639" xr:uid="{2CE04DF6-A72A-49E0-A0CB-93FB9D4F8839}"/>
    <cellStyle name="RISKtlandrEdge 3" xfId="1098" xr:uid="{00000000-0005-0000-0000-0000F0060000}"/>
    <cellStyle name="RISKtlandrEdge 3 10" xfId="3039" xr:uid="{5D46D10C-E8BA-490E-BC7D-76AF6C80A064}"/>
    <cellStyle name="RISKtlandrEdge 3 10 2" xfId="6437" xr:uid="{B9ECAB79-0C46-4E16-BAA0-8DF739209F5F}"/>
    <cellStyle name="RISKtlandrEdge 3 10 3" xfId="9623" xr:uid="{7AF976D8-7252-4ECA-93CF-95D6507DB74A}"/>
    <cellStyle name="RISKtlandrEdge 3 11" xfId="3281" xr:uid="{1592F1B2-F9E0-4463-896D-ECF04FFCD231}"/>
    <cellStyle name="RISKtlandrEdge 3 11 2" xfId="6700" xr:uid="{037C68FB-A7DC-4B9D-94BF-87E747E89BA8}"/>
    <cellStyle name="RISKtlandrEdge 3 11 3" xfId="9865" xr:uid="{468A0455-909E-4FFE-9101-82251586FB1E}"/>
    <cellStyle name="RISKtlandrEdge 3 12" xfId="6962" xr:uid="{2AA0C831-B474-4BA1-84DB-6A273BEA4E2E}"/>
    <cellStyle name="RISKtlandrEdge 3 12 2" xfId="10107" xr:uid="{6A84DBAA-6CF1-4EA4-89FA-69A1E46913A1}"/>
    <cellStyle name="RISKtlandrEdge 3 13" xfId="7211" xr:uid="{9DA43479-DC2D-4950-B998-7FFE638CF67B}"/>
    <cellStyle name="RISKtlandrEdge 3 13 2" xfId="10350" xr:uid="{08D2A066-BBE1-42CF-887F-96A2FD5E5432}"/>
    <cellStyle name="RISKtlandrEdge 3 14" xfId="7565" xr:uid="{EF1E23A8-79AD-40A4-98C3-C9601B8D8BDF}"/>
    <cellStyle name="RISKtlandrEdge 3 14 2" xfId="10699" xr:uid="{F09C55AD-4237-4756-A0A5-5BB3F4E48164}"/>
    <cellStyle name="RISKtlandrEdge 3 15" xfId="7703" xr:uid="{1AF081F6-3FE9-4708-9157-4B0808B8F9A6}"/>
    <cellStyle name="RISKtlandrEdge 3 15 2" xfId="10836" xr:uid="{050E8CC9-A780-4739-A90D-127D1BFD3375}"/>
    <cellStyle name="RISKtlandrEdge 3 16" xfId="4587" xr:uid="{CADB6272-37FB-4141-99D5-9CC3A3C54672}"/>
    <cellStyle name="RISKtlandrEdge 3 17" xfId="7807" xr:uid="{5FED4B28-66B6-4356-ADB7-D1B95AE0B92B}"/>
    <cellStyle name="RISKtlandrEdge 3 18" xfId="11089" xr:uid="{8A5B78F9-8CB0-4AAC-8BB6-89C7893D7615}"/>
    <cellStyle name="RISKtlandrEdge 3 19" xfId="11505" xr:uid="{29F71111-5D86-45DF-AC60-0E20A1C60F78}"/>
    <cellStyle name="RISKtlandrEdge 3 2" xfId="1099" xr:uid="{00000000-0005-0000-0000-0000F1060000}"/>
    <cellStyle name="RISKtlandrEdge 3 2 10" xfId="3282" xr:uid="{5F4B051B-8CA4-4CA4-960D-1848A5463037}"/>
    <cellStyle name="RISKtlandrEdge 3 2 10 2" xfId="6701" xr:uid="{6BDE480B-6FA7-4775-93A6-49023B763F53}"/>
    <cellStyle name="RISKtlandrEdge 3 2 10 3" xfId="9866" xr:uid="{7A5504CD-56C5-4B41-9D9D-C2A5A5E86455}"/>
    <cellStyle name="RISKtlandrEdge 3 2 11" xfId="6963" xr:uid="{932BDA6F-F666-4DCA-81D1-CB977E59DA2A}"/>
    <cellStyle name="RISKtlandrEdge 3 2 11 2" xfId="10108" xr:uid="{41B0A822-CF6A-4280-A80B-7B258344754C}"/>
    <cellStyle name="RISKtlandrEdge 3 2 12" xfId="7212" xr:uid="{A6FA800B-6FC6-4C10-B3F6-3E30B626003D}"/>
    <cellStyle name="RISKtlandrEdge 3 2 12 2" xfId="10351" xr:uid="{30CCC383-8B55-45BE-9664-C40DB1EEC081}"/>
    <cellStyle name="RISKtlandrEdge 3 2 13" xfId="7566" xr:uid="{39F6F50C-A3D3-4FB0-AF5C-EBFBE3D5D8CE}"/>
    <cellStyle name="RISKtlandrEdge 3 2 13 2" xfId="10700" xr:uid="{6A6F3260-207E-4CC6-8BEA-BEE151E34097}"/>
    <cellStyle name="RISKtlandrEdge 3 2 14" xfId="7704" xr:uid="{B68C64AB-FB44-470A-B8D6-146F69ACC817}"/>
    <cellStyle name="RISKtlandrEdge 3 2 14 2" xfId="10837" xr:uid="{DF26F06C-D149-4E40-B5E2-19E823C498BE}"/>
    <cellStyle name="RISKtlandrEdge 3 2 15" xfId="4588" xr:uid="{C295F608-3D7F-4B02-A17E-BEF7008A616B}"/>
    <cellStyle name="RISKtlandrEdge 3 2 16" xfId="7808" xr:uid="{F35286E6-FAA2-4939-92AE-8941BDA1DA01}"/>
    <cellStyle name="RISKtlandrEdge 3 2 17" xfId="11090" xr:uid="{6A21053D-FF54-4867-AE6C-EEFE563B881A}"/>
    <cellStyle name="RISKtlandrEdge 3 2 18" xfId="11506" xr:uid="{9F90BFF0-BBDA-4AF8-A94A-6301F3D2F0A6}"/>
    <cellStyle name="RISKtlandrEdge 3 2 19" xfId="11655" xr:uid="{49E11A23-7790-48A1-8EBA-1CA90B15B466}"/>
    <cellStyle name="RISKtlandrEdge 3 2 2" xfId="1358" xr:uid="{00000000-0005-0000-0000-0000F2060000}"/>
    <cellStyle name="RISKtlandrEdge 3 2 2 2" xfId="3469" xr:uid="{F138ABB8-F500-4571-A032-4A3698D09D9E}"/>
    <cellStyle name="RISKtlandrEdge 3 2 2 3" xfId="4775" xr:uid="{9BE7292A-BBCA-4FC3-9C25-150A0DD5D8DC}"/>
    <cellStyle name="RISKtlandrEdge 3 2 2 4" xfId="7985" xr:uid="{0806A0AB-7664-4151-B323-0A002E01812A}"/>
    <cellStyle name="RISKtlandrEdge 3 2 20" xfId="11949" xr:uid="{4565571F-0532-42A9-9699-E222A3B4B063}"/>
    <cellStyle name="RISKtlandrEdge 3 2 21" xfId="12201" xr:uid="{BC8964BF-A6C7-453A-AF6F-7DB1BC405F2B}"/>
    <cellStyle name="RISKtlandrEdge 3 2 22" xfId="12643" xr:uid="{829D0A05-58A5-4450-AEAA-194237516E98}"/>
    <cellStyle name="RISKtlandrEdge 3 2 23" xfId="12808" xr:uid="{B7C1B11F-B948-4207-ABCF-10BD252693F2}"/>
    <cellStyle name="RISKtlandrEdge 3 2 24" xfId="12949" xr:uid="{F5FB9588-1874-4040-BFC0-2DD8F7061A0D}"/>
    <cellStyle name="RISKtlandrEdge 3 2 25" xfId="13311" xr:uid="{F520EDB7-FD9C-41BE-84EC-2907A92AED53}"/>
    <cellStyle name="RISKtlandrEdge 3 2 26" xfId="13440" xr:uid="{C9C4D89F-CA92-4E5D-9EBF-ABD935F54D5E}"/>
    <cellStyle name="RISKtlandrEdge 3 2 3" xfId="1607" xr:uid="{00000000-0005-0000-0000-0000F3060000}"/>
    <cellStyle name="RISKtlandrEdge 3 2 3 2" xfId="3708" xr:uid="{72EE3742-BC16-46BE-9260-19CE5921AD69}"/>
    <cellStyle name="RISKtlandrEdge 3 2 3 3" xfId="5016" xr:uid="{7F88A34E-4CB1-4C47-BC56-E4E64DB1B0DA}"/>
    <cellStyle name="RISKtlandrEdge 3 2 3 4" xfId="8223" xr:uid="{B44F3A9F-6178-4BCB-A4CD-FBE6850966AE}"/>
    <cellStyle name="RISKtlandrEdge 3 2 4" xfId="1864" xr:uid="{00000000-0005-0000-0000-0000F4060000}"/>
    <cellStyle name="RISKtlandrEdge 3 2 4 2" xfId="3964" xr:uid="{BB18AAEC-CF5D-4B75-B89B-1DA45A4DE60A}"/>
    <cellStyle name="RISKtlandrEdge 3 2 4 3" xfId="5268" xr:uid="{89A56679-FE26-462D-A197-C7C87BCC8559}"/>
    <cellStyle name="RISKtlandrEdge 3 2 4 4" xfId="8462" xr:uid="{7E66A679-926F-45C0-BC69-D5CCA1C06E70}"/>
    <cellStyle name="RISKtlandrEdge 3 2 5" xfId="2118" xr:uid="{00000000-0005-0000-0000-0000F5060000}"/>
    <cellStyle name="RISKtlandrEdge 3 2 5 2" xfId="4208" xr:uid="{72431CCA-B61D-42CA-92C4-F740206FCF8B}"/>
    <cellStyle name="RISKtlandrEdge 3 2 5 3" xfId="5506" xr:uid="{33853245-0146-4C17-8FDB-67FEB704791C}"/>
    <cellStyle name="RISKtlandrEdge 3 2 5 4" xfId="8698" xr:uid="{C0D95338-1FFE-462B-9BC7-47AD5C8932B5}"/>
    <cellStyle name="RISKtlandrEdge 3 2 6" xfId="2360" xr:uid="{2FABFE34-848D-4EAA-8C51-4CEE05583AEB}"/>
    <cellStyle name="RISKtlandrEdge 3 2 6 2" xfId="5742" xr:uid="{2C5F234D-D12B-4B97-B07A-32DC9AC706C6}"/>
    <cellStyle name="RISKtlandrEdge 3 2 6 3" xfId="8934" xr:uid="{E9BBE2EE-0337-4703-B88E-2FE489A71BE2}"/>
    <cellStyle name="RISKtlandrEdge 3 2 7" xfId="2596" xr:uid="{4490F466-9093-493F-8A93-44CAE3A0BD6A}"/>
    <cellStyle name="RISKtlandrEdge 3 2 7 2" xfId="5972" xr:uid="{47DA0A46-7ADB-4624-BEA5-DA11BF109D7E}"/>
    <cellStyle name="RISKtlandrEdge 3 2 7 3" xfId="9164" xr:uid="{816268E3-1B40-4616-86C5-ED7F403FF4BA}"/>
    <cellStyle name="RISKtlandrEdge 3 2 8" xfId="2835" xr:uid="{7AE0ED59-FD11-4044-BEB9-B79655887748}"/>
    <cellStyle name="RISKtlandrEdge 3 2 8 2" xfId="6205" xr:uid="{918BB54E-AE3A-40AB-9FD5-26E41DA4B4F6}"/>
    <cellStyle name="RISKtlandrEdge 3 2 8 3" xfId="9394" xr:uid="{3CCB0CA7-748F-4008-8968-D184ACE8C102}"/>
    <cellStyle name="RISKtlandrEdge 3 2 9" xfId="3040" xr:uid="{8BCAA2D1-17CE-4517-8D33-D53E5AC25EA7}"/>
    <cellStyle name="RISKtlandrEdge 3 2 9 2" xfId="6438" xr:uid="{148AAC42-EFE5-4EE0-8ACC-ECB340F19702}"/>
    <cellStyle name="RISKtlandrEdge 3 2 9 3" xfId="9624" xr:uid="{39655DD1-6300-45A6-AC38-66A25E2EE0FD}"/>
    <cellStyle name="RISKtlandrEdge 3 20" xfId="11654" xr:uid="{CA9B6C35-FA01-4521-B8C1-769668FE72A6}"/>
    <cellStyle name="RISKtlandrEdge 3 21" xfId="11948" xr:uid="{E7C2BAC3-6F71-42EC-8EF8-3C2BDD5F9AEF}"/>
    <cellStyle name="RISKtlandrEdge 3 22" xfId="12200" xr:uid="{9CFAC89E-014D-415A-B01B-0A5E2407B8C0}"/>
    <cellStyle name="RISKtlandrEdge 3 23" xfId="12642" xr:uid="{8CFE2B81-7556-4267-919D-3BA31D319B8E}"/>
    <cellStyle name="RISKtlandrEdge 3 24" xfId="12807" xr:uid="{38997CF8-AA78-439B-A601-B78ABFF50D98}"/>
    <cellStyle name="RISKtlandrEdge 3 25" xfId="12948" xr:uid="{05856308-FAD8-4C7A-9160-C730D74F4BE0}"/>
    <cellStyle name="RISKtlandrEdge 3 26" xfId="13310" xr:uid="{22F8D581-56DB-4CF4-BE1F-AE79FAF1CDA2}"/>
    <cellStyle name="RISKtlandrEdge 3 27" xfId="13439" xr:uid="{272BF4BB-A770-489D-BED1-F771F5B05826}"/>
    <cellStyle name="RISKtlandrEdge 3 3" xfId="1357" xr:uid="{00000000-0005-0000-0000-0000F6060000}"/>
    <cellStyle name="RISKtlandrEdge 3 3 2" xfId="3468" xr:uid="{BC0D6D8A-EAA7-46AA-8421-A0DA9D5CC695}"/>
    <cellStyle name="RISKtlandrEdge 3 3 3" xfId="4774" xr:uid="{AF2A6394-2F1A-483B-93A4-BE3ACD9B5751}"/>
    <cellStyle name="RISKtlandrEdge 3 3 4" xfId="7984" xr:uid="{0DD6193E-E524-40E4-8C06-E3A8B8607D5D}"/>
    <cellStyle name="RISKtlandrEdge 3 4" xfId="1606" xr:uid="{00000000-0005-0000-0000-0000F7060000}"/>
    <cellStyle name="RISKtlandrEdge 3 4 2" xfId="3707" xr:uid="{F4071C7B-8666-468E-B24B-D6BF09675E00}"/>
    <cellStyle name="RISKtlandrEdge 3 4 3" xfId="5015" xr:uid="{8C5F5625-B398-4800-A6B1-CCCE25F54F91}"/>
    <cellStyle name="RISKtlandrEdge 3 4 4" xfId="8222" xr:uid="{287A4CAE-A72B-4920-84FB-8DA5961B435C}"/>
    <cellStyle name="RISKtlandrEdge 3 5" xfId="1863" xr:uid="{00000000-0005-0000-0000-0000F8060000}"/>
    <cellStyle name="RISKtlandrEdge 3 5 2" xfId="3963" xr:uid="{B7E66BAC-9769-4D7F-BB56-7E614F65D841}"/>
    <cellStyle name="RISKtlandrEdge 3 5 3" xfId="5267" xr:uid="{AAF5FD72-10FB-445D-9035-34E252060FFB}"/>
    <cellStyle name="RISKtlandrEdge 3 5 4" xfId="8461" xr:uid="{001D68A0-52BA-4057-A626-6BCDE4E4382B}"/>
    <cellStyle name="RISKtlandrEdge 3 6" xfId="2117" xr:uid="{00000000-0005-0000-0000-0000F9060000}"/>
    <cellStyle name="RISKtlandrEdge 3 6 2" xfId="4207" xr:uid="{66F0C44B-9E39-4EBD-9E7C-2F71192BB7E0}"/>
    <cellStyle name="RISKtlandrEdge 3 6 3" xfId="5505" xr:uid="{CAF4176E-9994-4B8D-A3E5-CC4FB7D9F434}"/>
    <cellStyle name="RISKtlandrEdge 3 6 4" xfId="8697" xr:uid="{665805CE-825C-4F0B-9DEE-BE75C7DDC373}"/>
    <cellStyle name="RISKtlandrEdge 3 7" xfId="2359" xr:uid="{EE931570-037C-476C-B16D-5080CAD4215B}"/>
    <cellStyle name="RISKtlandrEdge 3 7 2" xfId="5741" xr:uid="{9F26D0F4-5307-4E06-89B4-11ED112B14B3}"/>
    <cellStyle name="RISKtlandrEdge 3 7 3" xfId="8933" xr:uid="{6A8AEE9D-D294-46D4-B01C-AFA5A9FCD114}"/>
    <cellStyle name="RISKtlandrEdge 3 8" xfId="2595" xr:uid="{115037FC-E2A8-4263-8481-1A5471720171}"/>
    <cellStyle name="RISKtlandrEdge 3 8 2" xfId="5971" xr:uid="{0B481B69-114D-43D4-9CB9-70D7F882D171}"/>
    <cellStyle name="RISKtlandrEdge 3 8 3" xfId="9163" xr:uid="{6FB99DF9-894F-4DAB-B2DA-9D467AA7AD2A}"/>
    <cellStyle name="RISKtlandrEdge 3 9" xfId="2834" xr:uid="{9DC7019A-E935-4E74-8764-FFF72C15DD08}"/>
    <cellStyle name="RISKtlandrEdge 3 9 2" xfId="6204" xr:uid="{C6FE630E-0DC9-4568-BF5E-85190D3FC799}"/>
    <cellStyle name="RISKtlandrEdge 3 9 3" xfId="9393" xr:uid="{8CCCA157-8E05-47A0-8B64-AB2207F64F5B}"/>
    <cellStyle name="RISKtlandrEdge 30" xfId="12804" xr:uid="{D8868B43-5EBB-4F30-AFE7-C55D5B7363CC}"/>
    <cellStyle name="RISKtlandrEdge 31" xfId="12945" xr:uid="{25EB470C-C6F8-48D7-A4BA-D7C1E7212872}"/>
    <cellStyle name="RISKtlandrEdge 32" xfId="13307" xr:uid="{E60A5C18-B93F-4DAB-BF66-0644419EC7EF}"/>
    <cellStyle name="RISKtlandrEdge 33" xfId="13436" xr:uid="{98B8C1CB-3A3A-45FB-B3EB-94BC1E4F26D9}"/>
    <cellStyle name="RISKtlandrEdge 4" xfId="1100" xr:uid="{00000000-0005-0000-0000-0000FA060000}"/>
    <cellStyle name="RISKtlandrEdge 4 10" xfId="3041" xr:uid="{FDEA5143-530C-4D74-90D6-93860AF30AA0}"/>
    <cellStyle name="RISKtlandrEdge 4 10 2" xfId="6439" xr:uid="{D02A9819-9A80-4E0A-A4A5-5427914DDAA1}"/>
    <cellStyle name="RISKtlandrEdge 4 10 3" xfId="9625" xr:uid="{A4741799-CF55-49B1-8DC4-8B1DEA2B819E}"/>
    <cellStyle name="RISKtlandrEdge 4 11" xfId="3283" xr:uid="{C1AF4FA5-EB80-4CB2-A0DB-1889E2EC6D58}"/>
    <cellStyle name="RISKtlandrEdge 4 11 2" xfId="6702" xr:uid="{8558618F-794D-4C61-B0BD-12BB4668401D}"/>
    <cellStyle name="RISKtlandrEdge 4 11 3" xfId="9867" xr:uid="{D15F2277-DE33-453A-B2A2-DB35524A8F74}"/>
    <cellStyle name="RISKtlandrEdge 4 12" xfId="6964" xr:uid="{BA723765-CC37-419C-BA26-7FDE1A6C5C7A}"/>
    <cellStyle name="RISKtlandrEdge 4 12 2" xfId="10109" xr:uid="{29FE1AF6-08FF-444D-91D1-55EA30F03046}"/>
    <cellStyle name="RISKtlandrEdge 4 13" xfId="7213" xr:uid="{47919CF2-D1CA-4F9A-8456-FFBF0CB159D6}"/>
    <cellStyle name="RISKtlandrEdge 4 13 2" xfId="10352" xr:uid="{950362BA-76EF-4685-ADFA-2B07FF801D2C}"/>
    <cellStyle name="RISKtlandrEdge 4 14" xfId="7567" xr:uid="{7CD214EF-8515-41E3-957A-97B339104045}"/>
    <cellStyle name="RISKtlandrEdge 4 14 2" xfId="10701" xr:uid="{2614CFE7-333C-4D16-B79A-B3560B768145}"/>
    <cellStyle name="RISKtlandrEdge 4 15" xfId="7705" xr:uid="{4D48955D-534F-4B1D-A514-11990C2F747E}"/>
    <cellStyle name="RISKtlandrEdge 4 15 2" xfId="10838" xr:uid="{B43FC424-FF8F-44AA-9FB3-B4501BC75CB6}"/>
    <cellStyle name="RISKtlandrEdge 4 16" xfId="4589" xr:uid="{A8B0A2E4-4E55-4A9A-AEA6-0C66F7D8B044}"/>
    <cellStyle name="RISKtlandrEdge 4 17" xfId="7809" xr:uid="{A402A4C3-1A0B-404A-8936-98FCABAA0D4B}"/>
    <cellStyle name="RISKtlandrEdge 4 18" xfId="11091" xr:uid="{389635EB-15E5-484C-99FF-BE8EEF087183}"/>
    <cellStyle name="RISKtlandrEdge 4 19" xfId="11507" xr:uid="{7DAE506D-12B2-4905-92CF-FA50DF7CDF42}"/>
    <cellStyle name="RISKtlandrEdge 4 2" xfId="1101" xr:uid="{00000000-0005-0000-0000-0000FB060000}"/>
    <cellStyle name="RISKtlandrEdge 4 2 10" xfId="3284" xr:uid="{F1207E59-A277-4D51-896C-CBC008B45BB7}"/>
    <cellStyle name="RISKtlandrEdge 4 2 10 2" xfId="6703" xr:uid="{319CA8AB-3ED3-4702-8CAD-DB12B0BF89D9}"/>
    <cellStyle name="RISKtlandrEdge 4 2 10 3" xfId="9868" xr:uid="{C29EDC4B-410A-4966-94C5-09065C07D1DC}"/>
    <cellStyle name="RISKtlandrEdge 4 2 11" xfId="6965" xr:uid="{F061A219-E6FD-4CF1-BD00-D0B3685AEE4D}"/>
    <cellStyle name="RISKtlandrEdge 4 2 11 2" xfId="10110" xr:uid="{FE1F2BE0-F557-457A-AB18-7A14526A34E0}"/>
    <cellStyle name="RISKtlandrEdge 4 2 12" xfId="7214" xr:uid="{72E63C18-65E7-4920-A774-1282BD7A6DD4}"/>
    <cellStyle name="RISKtlandrEdge 4 2 12 2" xfId="10353" xr:uid="{A3A4A130-2D7E-42AA-A4EF-6794C69268E8}"/>
    <cellStyle name="RISKtlandrEdge 4 2 13" xfId="7568" xr:uid="{5047E086-4D5F-4DDD-8F92-91736BA42FB5}"/>
    <cellStyle name="RISKtlandrEdge 4 2 13 2" xfId="10702" xr:uid="{ED466F67-2D89-42B8-8665-9AF9ADC82961}"/>
    <cellStyle name="RISKtlandrEdge 4 2 14" xfId="7706" xr:uid="{AF31D40E-D125-44D4-ADA2-86998FD98BAA}"/>
    <cellStyle name="RISKtlandrEdge 4 2 14 2" xfId="10839" xr:uid="{961180B6-118F-403A-9C92-FF5643F625C3}"/>
    <cellStyle name="RISKtlandrEdge 4 2 15" xfId="4590" xr:uid="{1C8F9F7E-D283-434C-89D2-2F9060608404}"/>
    <cellStyle name="RISKtlandrEdge 4 2 16" xfId="7810" xr:uid="{18AC8F81-971B-44AA-A10D-CBC9EBBD9C6D}"/>
    <cellStyle name="RISKtlandrEdge 4 2 17" xfId="11092" xr:uid="{C131569F-85A6-4F9A-A607-269DADC04BCC}"/>
    <cellStyle name="RISKtlandrEdge 4 2 18" xfId="11508" xr:uid="{F5198A04-DA13-4E52-9867-93D9DF9EBF19}"/>
    <cellStyle name="RISKtlandrEdge 4 2 19" xfId="11657" xr:uid="{5FFE8C00-8D06-4937-B96B-882BABC8A828}"/>
    <cellStyle name="RISKtlandrEdge 4 2 2" xfId="1360" xr:uid="{00000000-0005-0000-0000-0000FC060000}"/>
    <cellStyle name="RISKtlandrEdge 4 2 2 2" xfId="3471" xr:uid="{EC160D9C-DB85-4820-9FDA-D52726B024F2}"/>
    <cellStyle name="RISKtlandrEdge 4 2 2 3" xfId="4777" xr:uid="{6B30A77D-A845-41E8-93CA-1318F47A84A6}"/>
    <cellStyle name="RISKtlandrEdge 4 2 2 4" xfId="7987" xr:uid="{B4C45E74-B698-475C-B232-1F4C8D0A87CB}"/>
    <cellStyle name="RISKtlandrEdge 4 2 20" xfId="11951" xr:uid="{6EE58800-0263-4049-B24F-6FA7E18EA072}"/>
    <cellStyle name="RISKtlandrEdge 4 2 21" xfId="12203" xr:uid="{4DEF09BF-3882-49C7-9023-13C98004702D}"/>
    <cellStyle name="RISKtlandrEdge 4 2 22" xfId="12645" xr:uid="{BB406C60-2391-4973-968A-7AA1333553C6}"/>
    <cellStyle name="RISKtlandrEdge 4 2 23" xfId="12810" xr:uid="{136143AF-6CCE-46BD-981B-CF7A8777BE0D}"/>
    <cellStyle name="RISKtlandrEdge 4 2 24" xfId="12951" xr:uid="{AC634133-29C8-4C60-BCAE-5F441C49A49F}"/>
    <cellStyle name="RISKtlandrEdge 4 2 25" xfId="13313" xr:uid="{8242B95C-AB35-4B4E-97ED-5F5C3CE47DFF}"/>
    <cellStyle name="RISKtlandrEdge 4 2 26" xfId="13442" xr:uid="{60800BA9-D366-4D3D-B9C7-1F4C5C54155C}"/>
    <cellStyle name="RISKtlandrEdge 4 2 3" xfId="1609" xr:uid="{00000000-0005-0000-0000-0000FD060000}"/>
    <cellStyle name="RISKtlandrEdge 4 2 3 2" xfId="3710" xr:uid="{CE7F5AD4-4003-4AC5-B0C7-4BCD750C0E5C}"/>
    <cellStyle name="RISKtlandrEdge 4 2 3 3" xfId="5018" xr:uid="{E65088DB-1092-4936-93E5-A61D07C6FD29}"/>
    <cellStyle name="RISKtlandrEdge 4 2 3 4" xfId="8225" xr:uid="{ECC01221-934C-40B1-B280-6C379D5D8864}"/>
    <cellStyle name="RISKtlandrEdge 4 2 4" xfId="1866" xr:uid="{00000000-0005-0000-0000-0000FE060000}"/>
    <cellStyle name="RISKtlandrEdge 4 2 4 2" xfId="3966" xr:uid="{FF662CBD-6519-49F7-9C2F-63353C3CD2A4}"/>
    <cellStyle name="RISKtlandrEdge 4 2 4 3" xfId="5270" xr:uid="{286D542D-3E41-4907-A3B0-DFEF0A0ECF0A}"/>
    <cellStyle name="RISKtlandrEdge 4 2 4 4" xfId="8464" xr:uid="{A401CDE9-12DE-4CF1-9E2C-F0AE8152B33D}"/>
    <cellStyle name="RISKtlandrEdge 4 2 5" xfId="2120" xr:uid="{00000000-0005-0000-0000-0000FF060000}"/>
    <cellStyle name="RISKtlandrEdge 4 2 5 2" xfId="4210" xr:uid="{4D507776-A056-4316-9DB7-81DDB32DD55C}"/>
    <cellStyle name="RISKtlandrEdge 4 2 5 3" xfId="5508" xr:uid="{2681D9A6-DAFE-49DF-A0C8-0645A3D941F6}"/>
    <cellStyle name="RISKtlandrEdge 4 2 5 4" xfId="8700" xr:uid="{CC54D3E8-0E26-49D3-A911-BB9524CC73D5}"/>
    <cellStyle name="RISKtlandrEdge 4 2 6" xfId="2362" xr:uid="{EBFA0F6C-4214-4C7F-914C-DC04F2C9C033}"/>
    <cellStyle name="RISKtlandrEdge 4 2 6 2" xfId="5744" xr:uid="{65AB49E7-D8B3-475C-9CBD-92A4E966DF04}"/>
    <cellStyle name="RISKtlandrEdge 4 2 6 3" xfId="8936" xr:uid="{AF3E23A2-6F8D-4CE1-BEBD-B64C37B635E3}"/>
    <cellStyle name="RISKtlandrEdge 4 2 7" xfId="2598" xr:uid="{BE6D16E5-F848-4892-8682-7E10C466CE4D}"/>
    <cellStyle name="RISKtlandrEdge 4 2 7 2" xfId="5974" xr:uid="{6CAF17DE-36C4-4D20-A265-7EA30B05BB86}"/>
    <cellStyle name="RISKtlandrEdge 4 2 7 3" xfId="9166" xr:uid="{7F736DED-1B30-476D-9544-66AA103577DE}"/>
    <cellStyle name="RISKtlandrEdge 4 2 8" xfId="2837" xr:uid="{99E57888-D548-4D0D-A1A4-951877393A68}"/>
    <cellStyle name="RISKtlandrEdge 4 2 8 2" xfId="6207" xr:uid="{B7EB314C-4E9A-45E5-8E1D-503CC47C9B34}"/>
    <cellStyle name="RISKtlandrEdge 4 2 8 3" xfId="9396" xr:uid="{D551FC97-E509-4FFE-BF04-8A6A96ED50C0}"/>
    <cellStyle name="RISKtlandrEdge 4 2 9" xfId="3042" xr:uid="{82B5C347-0298-4040-A9F7-57E8B0393098}"/>
    <cellStyle name="RISKtlandrEdge 4 2 9 2" xfId="6440" xr:uid="{84AB0D09-E229-4242-A169-063CD395D86E}"/>
    <cellStyle name="RISKtlandrEdge 4 2 9 3" xfId="9626" xr:uid="{14286B9B-A1B1-4294-BD27-18BAE7F64F0F}"/>
    <cellStyle name="RISKtlandrEdge 4 20" xfId="11656" xr:uid="{F24AAF34-3673-4F48-95FE-2CC80385DF4C}"/>
    <cellStyle name="RISKtlandrEdge 4 21" xfId="11950" xr:uid="{ABE01854-174E-4054-B76C-068702CB3C9E}"/>
    <cellStyle name="RISKtlandrEdge 4 22" xfId="12202" xr:uid="{F6683B54-77E5-48C7-8A25-E79E1A7A3AE1}"/>
    <cellStyle name="RISKtlandrEdge 4 23" xfId="12644" xr:uid="{267054CB-DCF6-47F8-A9F6-2294F3A1FBD6}"/>
    <cellStyle name="RISKtlandrEdge 4 24" xfId="12809" xr:uid="{021A3710-E163-444F-A33C-F1DD047D1AD9}"/>
    <cellStyle name="RISKtlandrEdge 4 25" xfId="12950" xr:uid="{923071AF-AAAE-4F5B-B1E2-6B49E250E68D}"/>
    <cellStyle name="RISKtlandrEdge 4 26" xfId="13312" xr:uid="{E4B1345F-3B7C-4B1D-B20F-D10FC9351ED8}"/>
    <cellStyle name="RISKtlandrEdge 4 27" xfId="13441" xr:uid="{163961BD-F4F6-48CE-A6AA-F63616AB3EAB}"/>
    <cellStyle name="RISKtlandrEdge 4 3" xfId="1359" xr:uid="{00000000-0005-0000-0000-000000070000}"/>
    <cellStyle name="RISKtlandrEdge 4 3 2" xfId="3470" xr:uid="{4C969B1F-5250-421A-A328-703990433879}"/>
    <cellStyle name="RISKtlandrEdge 4 3 3" xfId="4776" xr:uid="{CB405512-3AA8-4509-A060-100761D49447}"/>
    <cellStyle name="RISKtlandrEdge 4 3 4" xfId="7986" xr:uid="{FD390F04-BB37-4F54-AB81-CA78F1635158}"/>
    <cellStyle name="RISKtlandrEdge 4 4" xfId="1608" xr:uid="{00000000-0005-0000-0000-000001070000}"/>
    <cellStyle name="RISKtlandrEdge 4 4 2" xfId="3709" xr:uid="{B8E0DD1C-5444-4B2B-9A75-A7CD14BFE6CD}"/>
    <cellStyle name="RISKtlandrEdge 4 4 3" xfId="5017" xr:uid="{BB644A06-C2FB-4CB1-9517-DBCF41CFF7C9}"/>
    <cellStyle name="RISKtlandrEdge 4 4 4" xfId="8224" xr:uid="{9A384245-1FCF-44BB-B71D-F4F2C5ED451B}"/>
    <cellStyle name="RISKtlandrEdge 4 5" xfId="1865" xr:uid="{00000000-0005-0000-0000-000002070000}"/>
    <cellStyle name="RISKtlandrEdge 4 5 2" xfId="3965" xr:uid="{E117820F-C101-454E-9426-A084D57BD67D}"/>
    <cellStyle name="RISKtlandrEdge 4 5 3" xfId="5269" xr:uid="{8CD9E310-C68C-4EA4-B25C-D435F7375454}"/>
    <cellStyle name="RISKtlandrEdge 4 5 4" xfId="8463" xr:uid="{1CDC8019-87DE-4742-A126-2F4622417C33}"/>
    <cellStyle name="RISKtlandrEdge 4 6" xfId="2119" xr:uid="{00000000-0005-0000-0000-000003070000}"/>
    <cellStyle name="RISKtlandrEdge 4 6 2" xfId="4209" xr:uid="{205A8CEF-F26B-4452-BD9F-BBA953BE0E9D}"/>
    <cellStyle name="RISKtlandrEdge 4 6 3" xfId="5507" xr:uid="{5E95AE59-8F47-4EB0-9751-0DEDDBE7CD70}"/>
    <cellStyle name="RISKtlandrEdge 4 6 4" xfId="8699" xr:uid="{D5637C3A-4E2B-4F8A-B1BB-613EF90A0C1D}"/>
    <cellStyle name="RISKtlandrEdge 4 7" xfId="2361" xr:uid="{91DA6AF8-8352-416C-BBB4-3B82C50F9614}"/>
    <cellStyle name="RISKtlandrEdge 4 7 2" xfId="5743" xr:uid="{3623C834-FCDC-4C80-8FF0-A2D7E13D628E}"/>
    <cellStyle name="RISKtlandrEdge 4 7 3" xfId="8935" xr:uid="{D5748E42-140B-4DEB-9059-035D30068061}"/>
    <cellStyle name="RISKtlandrEdge 4 8" xfId="2597" xr:uid="{6D976D19-D991-4E76-A90D-28EA369C9C2F}"/>
    <cellStyle name="RISKtlandrEdge 4 8 2" xfId="5973" xr:uid="{479A7C5C-5983-4D43-87E7-08E5CF9C28F1}"/>
    <cellStyle name="RISKtlandrEdge 4 8 3" xfId="9165" xr:uid="{2F94E967-7939-4681-9747-DC1814418420}"/>
    <cellStyle name="RISKtlandrEdge 4 9" xfId="2836" xr:uid="{4F2416D5-2D24-4874-9508-C307C65A62B4}"/>
    <cellStyle name="RISKtlandrEdge 4 9 2" xfId="6206" xr:uid="{CFE7B188-3F94-4F0F-A855-3A852CD9AD0A}"/>
    <cellStyle name="RISKtlandrEdge 4 9 3" xfId="9395" xr:uid="{35EAD08F-6552-405D-88E2-3377FE1A6297}"/>
    <cellStyle name="RISKtlandrEdge 5" xfId="1102" xr:uid="{00000000-0005-0000-0000-000004070000}"/>
    <cellStyle name="RISKtlandrEdge 5 10" xfId="3043" xr:uid="{E1239099-37AD-4171-89DA-90D43B249A51}"/>
    <cellStyle name="RISKtlandrEdge 5 10 2" xfId="6441" xr:uid="{7AE04A8C-E7B3-45CF-8C77-9C39F5480595}"/>
    <cellStyle name="RISKtlandrEdge 5 10 3" xfId="9627" xr:uid="{4E51F60F-36DB-4E5B-882F-82C73F80E040}"/>
    <cellStyle name="RISKtlandrEdge 5 11" xfId="3285" xr:uid="{76534F20-D529-4A77-8183-A972ED8F326B}"/>
    <cellStyle name="RISKtlandrEdge 5 11 2" xfId="6704" xr:uid="{65061313-111E-44A6-B593-EC127C04EC39}"/>
    <cellStyle name="RISKtlandrEdge 5 11 3" xfId="9869" xr:uid="{234A946A-3D9C-4A45-ABA7-94C5E5C9C08A}"/>
    <cellStyle name="RISKtlandrEdge 5 12" xfId="6966" xr:uid="{E4439BEA-A127-46E7-98C7-EEDE7C879475}"/>
    <cellStyle name="RISKtlandrEdge 5 12 2" xfId="10111" xr:uid="{9B33F651-060E-4D61-B30C-86782E078210}"/>
    <cellStyle name="RISKtlandrEdge 5 13" xfId="7215" xr:uid="{A46F60A1-38FC-46BC-984C-A027DF5C10D6}"/>
    <cellStyle name="RISKtlandrEdge 5 13 2" xfId="10354" xr:uid="{024D24A6-0179-43A0-8FAF-FBC7CB77E90D}"/>
    <cellStyle name="RISKtlandrEdge 5 14" xfId="7569" xr:uid="{EAE50F1B-7457-43EC-884A-E00CAAB4D1E4}"/>
    <cellStyle name="RISKtlandrEdge 5 14 2" xfId="10703" xr:uid="{9C513167-C89B-48FD-A24D-83C1ECB5EE25}"/>
    <cellStyle name="RISKtlandrEdge 5 15" xfId="7707" xr:uid="{5EA399B8-10E4-4780-A5B0-713E5E0B32E6}"/>
    <cellStyle name="RISKtlandrEdge 5 15 2" xfId="10840" xr:uid="{C52CD299-470B-4D37-8E8B-6A44B8072083}"/>
    <cellStyle name="RISKtlandrEdge 5 16" xfId="4591" xr:uid="{D1894ED2-3198-4669-B65F-E116F5CB16C5}"/>
    <cellStyle name="RISKtlandrEdge 5 17" xfId="7811" xr:uid="{DFAD3F0F-8F6C-4109-B30D-6F75BD6E6E8B}"/>
    <cellStyle name="RISKtlandrEdge 5 18" xfId="11093" xr:uid="{FDDEE92B-CDD1-4F85-B3C3-0ACC862CC98C}"/>
    <cellStyle name="RISKtlandrEdge 5 19" xfId="11509" xr:uid="{B3A8BA7D-FB62-40EC-9D4F-C3C1C7354F8A}"/>
    <cellStyle name="RISKtlandrEdge 5 2" xfId="1103" xr:uid="{00000000-0005-0000-0000-000005070000}"/>
    <cellStyle name="RISKtlandrEdge 5 2 10" xfId="3286" xr:uid="{4D63E44B-D0E1-4FB1-B037-4BB21C82C690}"/>
    <cellStyle name="RISKtlandrEdge 5 2 10 2" xfId="6705" xr:uid="{D4FEC95E-7D15-4219-8101-65759BE5DE65}"/>
    <cellStyle name="RISKtlandrEdge 5 2 10 3" xfId="9870" xr:uid="{301FB3F3-8283-4E58-8865-313374CB89CF}"/>
    <cellStyle name="RISKtlandrEdge 5 2 11" xfId="6967" xr:uid="{422F43BD-89AA-4847-9034-37F2C6F7ED67}"/>
    <cellStyle name="RISKtlandrEdge 5 2 11 2" xfId="10112" xr:uid="{49FFC2E1-0BE8-4E5F-AD09-72184184F0E8}"/>
    <cellStyle name="RISKtlandrEdge 5 2 12" xfId="7216" xr:uid="{E3599D65-EAF4-4852-BF1C-01682DC7C0EC}"/>
    <cellStyle name="RISKtlandrEdge 5 2 12 2" xfId="10355" xr:uid="{A3BB14F8-B698-463F-9A38-37FF29835313}"/>
    <cellStyle name="RISKtlandrEdge 5 2 13" xfId="7570" xr:uid="{DF898975-7CFD-4B73-B6E0-185DD0624778}"/>
    <cellStyle name="RISKtlandrEdge 5 2 13 2" xfId="10704" xr:uid="{856EB5EF-5821-42DD-BE86-0698300C2F94}"/>
    <cellStyle name="RISKtlandrEdge 5 2 14" xfId="7708" xr:uid="{96F5F223-AFCF-4396-9735-8063F9D283AB}"/>
    <cellStyle name="RISKtlandrEdge 5 2 14 2" xfId="10841" xr:uid="{8B146C37-8BFE-47B6-9249-25EB403CD430}"/>
    <cellStyle name="RISKtlandrEdge 5 2 15" xfId="4592" xr:uid="{E106A769-B029-486E-8543-3253D8FA8B95}"/>
    <cellStyle name="RISKtlandrEdge 5 2 16" xfId="7812" xr:uid="{85BBE7E3-6D86-4155-A0C6-F1EA3157563C}"/>
    <cellStyle name="RISKtlandrEdge 5 2 17" xfId="11094" xr:uid="{DC70B885-C100-49B6-8088-224E4266AB24}"/>
    <cellStyle name="RISKtlandrEdge 5 2 18" xfId="11510" xr:uid="{0D128D0D-E81B-42FE-83B7-059565E460E7}"/>
    <cellStyle name="RISKtlandrEdge 5 2 19" xfId="11659" xr:uid="{20FCD1EB-4291-4419-A167-90B63FC29334}"/>
    <cellStyle name="RISKtlandrEdge 5 2 2" xfId="1362" xr:uid="{00000000-0005-0000-0000-000006070000}"/>
    <cellStyle name="RISKtlandrEdge 5 2 2 2" xfId="3473" xr:uid="{379BC442-437C-4A0C-A769-6C8DC0834264}"/>
    <cellStyle name="RISKtlandrEdge 5 2 2 3" xfId="4779" xr:uid="{D59FDF21-EDAF-4098-8E8E-C9A4BB3E9CB8}"/>
    <cellStyle name="RISKtlandrEdge 5 2 2 4" xfId="7989" xr:uid="{107805AD-D369-4EBB-ACA0-D6622D4DB309}"/>
    <cellStyle name="RISKtlandrEdge 5 2 20" xfId="11953" xr:uid="{E3BEDC22-63A9-4E02-A39E-3DDDF68FE353}"/>
    <cellStyle name="RISKtlandrEdge 5 2 21" xfId="12205" xr:uid="{148E8ABA-DEB9-4B29-933A-91DB31BB2E2C}"/>
    <cellStyle name="RISKtlandrEdge 5 2 22" xfId="12647" xr:uid="{89BD1D2D-FC36-4063-B994-ABEE035E699F}"/>
    <cellStyle name="RISKtlandrEdge 5 2 23" xfId="12812" xr:uid="{AB6AC1E8-1D10-47D0-A1CE-8708E10AAEDE}"/>
    <cellStyle name="RISKtlandrEdge 5 2 24" xfId="12953" xr:uid="{59082A80-DF4D-41EB-B3C0-A9EF5FDBAFCD}"/>
    <cellStyle name="RISKtlandrEdge 5 2 25" xfId="13315" xr:uid="{054BF554-CE9F-4908-AFFF-31EA94DA7FD6}"/>
    <cellStyle name="RISKtlandrEdge 5 2 26" xfId="13444" xr:uid="{36963ADA-99E1-4F7D-B20A-45E1ED0E77BB}"/>
    <cellStyle name="RISKtlandrEdge 5 2 3" xfId="1611" xr:uid="{00000000-0005-0000-0000-000007070000}"/>
    <cellStyle name="RISKtlandrEdge 5 2 3 2" xfId="3712" xr:uid="{F3EE238F-BC3B-4DA5-9362-BD1AAD5F164C}"/>
    <cellStyle name="RISKtlandrEdge 5 2 3 3" xfId="5020" xr:uid="{24A80759-522A-43FE-84C2-7A7F929AE957}"/>
    <cellStyle name="RISKtlandrEdge 5 2 3 4" xfId="8227" xr:uid="{FF406478-E52A-4B8B-A14F-CC5DACA371EB}"/>
    <cellStyle name="RISKtlandrEdge 5 2 4" xfId="1868" xr:uid="{00000000-0005-0000-0000-000008070000}"/>
    <cellStyle name="RISKtlandrEdge 5 2 4 2" xfId="3968" xr:uid="{F74301F3-A5D7-4209-8147-2907C42427FC}"/>
    <cellStyle name="RISKtlandrEdge 5 2 4 3" xfId="5272" xr:uid="{70D5B739-88A6-4669-90DF-68910BB11803}"/>
    <cellStyle name="RISKtlandrEdge 5 2 4 4" xfId="8466" xr:uid="{EA8BBDEA-A059-4C64-943E-561A38D58EFB}"/>
    <cellStyle name="RISKtlandrEdge 5 2 5" xfId="2122" xr:uid="{00000000-0005-0000-0000-000009070000}"/>
    <cellStyle name="RISKtlandrEdge 5 2 5 2" xfId="4212" xr:uid="{EA34BFCD-00E8-4994-A2D3-00E0A798126C}"/>
    <cellStyle name="RISKtlandrEdge 5 2 5 3" xfId="5510" xr:uid="{3642E29A-19ED-4CCC-A379-08A2C43DF48F}"/>
    <cellStyle name="RISKtlandrEdge 5 2 5 4" xfId="8702" xr:uid="{4F73AE10-DF0D-40D4-8923-C455FD51B863}"/>
    <cellStyle name="RISKtlandrEdge 5 2 6" xfId="2364" xr:uid="{893E593A-7126-43C1-8259-4EBC885D147E}"/>
    <cellStyle name="RISKtlandrEdge 5 2 6 2" xfId="5746" xr:uid="{4A5100F9-CB4B-40AC-A824-16EB7C990FBC}"/>
    <cellStyle name="RISKtlandrEdge 5 2 6 3" xfId="8938" xr:uid="{0A45654A-9E03-465F-970A-C25570CB9408}"/>
    <cellStyle name="RISKtlandrEdge 5 2 7" xfId="2600" xr:uid="{59F7489B-7AC4-4293-AC6C-D341AD60A90F}"/>
    <cellStyle name="RISKtlandrEdge 5 2 7 2" xfId="5976" xr:uid="{E9BEFC71-F6EA-4484-9A36-25B405D09425}"/>
    <cellStyle name="RISKtlandrEdge 5 2 7 3" xfId="9168" xr:uid="{46A46733-53D5-4782-90A3-B52BF859926B}"/>
    <cellStyle name="RISKtlandrEdge 5 2 8" xfId="2839" xr:uid="{F8DE0C19-5ADC-42C5-A943-1258CB1E1942}"/>
    <cellStyle name="RISKtlandrEdge 5 2 8 2" xfId="6209" xr:uid="{021F89C9-21D5-475C-AE9F-6F5D31886876}"/>
    <cellStyle name="RISKtlandrEdge 5 2 8 3" xfId="9398" xr:uid="{995B4953-33EE-4E2A-A1DD-0285D174A6E1}"/>
    <cellStyle name="RISKtlandrEdge 5 2 9" xfId="3044" xr:uid="{21BE7DAA-A49F-4E36-A3E0-21DDE8E42B89}"/>
    <cellStyle name="RISKtlandrEdge 5 2 9 2" xfId="6442" xr:uid="{6CC9E129-A5EF-4F79-B8AD-60048271951F}"/>
    <cellStyle name="RISKtlandrEdge 5 2 9 3" xfId="9628" xr:uid="{EAA448BD-E673-44C9-9CBE-3BCFCDC47C20}"/>
    <cellStyle name="RISKtlandrEdge 5 20" xfId="11658" xr:uid="{EDD34296-1EBF-4C82-8358-41E630255A66}"/>
    <cellStyle name="RISKtlandrEdge 5 21" xfId="11952" xr:uid="{59D43676-CC27-40D4-B248-082C1D887068}"/>
    <cellStyle name="RISKtlandrEdge 5 22" xfId="12204" xr:uid="{6D1CF530-D1AE-4447-9639-64C9F4C476E8}"/>
    <cellStyle name="RISKtlandrEdge 5 23" xfId="12646" xr:uid="{42F759C3-0ECD-498C-8518-D8317E5BE46D}"/>
    <cellStyle name="RISKtlandrEdge 5 24" xfId="12811" xr:uid="{CDE73E7E-8867-4F0D-B542-30956B81E007}"/>
    <cellStyle name="RISKtlandrEdge 5 25" xfId="12952" xr:uid="{84F0521F-B9AE-4E57-926B-EA332BFE2849}"/>
    <cellStyle name="RISKtlandrEdge 5 26" xfId="13314" xr:uid="{3C47A0A1-CC9E-49C7-87ED-A57104B10901}"/>
    <cellStyle name="RISKtlandrEdge 5 27" xfId="13443" xr:uid="{604981D2-3B91-46CB-BD6C-FD4A2FFB84B4}"/>
    <cellStyle name="RISKtlandrEdge 5 3" xfId="1361" xr:uid="{00000000-0005-0000-0000-00000A070000}"/>
    <cellStyle name="RISKtlandrEdge 5 3 2" xfId="3472" xr:uid="{F6CD3EBB-1232-4554-8C6E-B1B7403CEC49}"/>
    <cellStyle name="RISKtlandrEdge 5 3 3" xfId="4778" xr:uid="{3105E23C-ABE5-432F-8031-AA64805F5F3E}"/>
    <cellStyle name="RISKtlandrEdge 5 3 4" xfId="7988" xr:uid="{74C9F5CE-DA3A-4FAB-A4A8-E380538F0BB9}"/>
    <cellStyle name="RISKtlandrEdge 5 4" xfId="1610" xr:uid="{00000000-0005-0000-0000-00000B070000}"/>
    <cellStyle name="RISKtlandrEdge 5 4 2" xfId="3711" xr:uid="{08831944-56D2-4FDA-B1F1-90BFFBB475B0}"/>
    <cellStyle name="RISKtlandrEdge 5 4 3" xfId="5019" xr:uid="{34884274-45C4-40A9-884E-C8F78FFABC3A}"/>
    <cellStyle name="RISKtlandrEdge 5 4 4" xfId="8226" xr:uid="{0DBBBE8F-314D-400A-B445-3FAD1E153702}"/>
    <cellStyle name="RISKtlandrEdge 5 5" xfId="1867" xr:uid="{00000000-0005-0000-0000-00000C070000}"/>
    <cellStyle name="RISKtlandrEdge 5 5 2" xfId="3967" xr:uid="{0677DE6C-83BE-4B2A-B99F-AE614C651EBF}"/>
    <cellStyle name="RISKtlandrEdge 5 5 3" xfId="5271" xr:uid="{15FA5154-F839-4594-8458-03BBD742F2D2}"/>
    <cellStyle name="RISKtlandrEdge 5 5 4" xfId="8465" xr:uid="{53759D2C-4EE4-42FC-806A-C427ADAFB8B8}"/>
    <cellStyle name="RISKtlandrEdge 5 6" xfId="2121" xr:uid="{00000000-0005-0000-0000-00000D070000}"/>
    <cellStyle name="RISKtlandrEdge 5 6 2" xfId="4211" xr:uid="{7A24E37E-76D0-4E7F-89F2-EA8E51CE9248}"/>
    <cellStyle name="RISKtlandrEdge 5 6 3" xfId="5509" xr:uid="{757B434A-66A5-48DA-ADC9-D029D253C870}"/>
    <cellStyle name="RISKtlandrEdge 5 6 4" xfId="8701" xr:uid="{24EF6152-92A4-491F-8DEC-F92CC0D8E517}"/>
    <cellStyle name="RISKtlandrEdge 5 7" xfId="2363" xr:uid="{7686DDF9-F067-4E05-8650-D952811A5A79}"/>
    <cellStyle name="RISKtlandrEdge 5 7 2" xfId="5745" xr:uid="{FFF28FA7-B633-423D-A2EB-8F914450AE26}"/>
    <cellStyle name="RISKtlandrEdge 5 7 3" xfId="8937" xr:uid="{F4A07571-BE20-4C84-82FE-051A67A3949F}"/>
    <cellStyle name="RISKtlandrEdge 5 8" xfId="2599" xr:uid="{EC74D307-3C1E-485E-A849-9AFF88D0386F}"/>
    <cellStyle name="RISKtlandrEdge 5 8 2" xfId="5975" xr:uid="{F32C8919-E917-4CEE-9AB9-D766B71B3D7B}"/>
    <cellStyle name="RISKtlandrEdge 5 8 3" xfId="9167" xr:uid="{46A4D666-C148-42CE-90C4-F9E5A2BCBCAC}"/>
    <cellStyle name="RISKtlandrEdge 5 9" xfId="2838" xr:uid="{B6A3B6F7-184B-4BE6-BFF1-C8324D37457E}"/>
    <cellStyle name="RISKtlandrEdge 5 9 2" xfId="6208" xr:uid="{182505CD-B88D-4F72-A667-383896CD17D7}"/>
    <cellStyle name="RISKtlandrEdge 5 9 3" xfId="9397" xr:uid="{9D622A3E-F8FD-45D7-ACD7-B9BD14594376}"/>
    <cellStyle name="RISKtlandrEdge 6" xfId="1104" xr:uid="{00000000-0005-0000-0000-00000E070000}"/>
    <cellStyle name="RISKtlandrEdge 6 10" xfId="3045" xr:uid="{C3926EEE-4FCE-460F-8A11-8888CDAF628A}"/>
    <cellStyle name="RISKtlandrEdge 6 10 2" xfId="6443" xr:uid="{F209365C-92AE-4C69-88B7-7A85A12C72B0}"/>
    <cellStyle name="RISKtlandrEdge 6 10 3" xfId="9629" xr:uid="{DA70B453-7F52-4E91-8722-CA26A3D8B92A}"/>
    <cellStyle name="RISKtlandrEdge 6 11" xfId="3287" xr:uid="{E7902A59-D9E9-48AE-9ECD-B51A1332F8F0}"/>
    <cellStyle name="RISKtlandrEdge 6 11 2" xfId="6706" xr:uid="{B376ADB7-9A19-42BE-ACB0-40E1CB92A721}"/>
    <cellStyle name="RISKtlandrEdge 6 11 3" xfId="9871" xr:uid="{4159A84D-D6DE-4305-A278-071952E33046}"/>
    <cellStyle name="RISKtlandrEdge 6 12" xfId="6968" xr:uid="{A4032C71-E4C6-4733-91B2-96D2ECCA6AD5}"/>
    <cellStyle name="RISKtlandrEdge 6 12 2" xfId="10113" xr:uid="{D0FE5B7E-A512-468F-B2A5-249DAAA298D6}"/>
    <cellStyle name="RISKtlandrEdge 6 13" xfId="7217" xr:uid="{41FB6009-FF6C-466A-8E38-8778B69C71B6}"/>
    <cellStyle name="RISKtlandrEdge 6 13 2" xfId="10356" xr:uid="{DA1DB99A-9739-4F00-A1FC-74807EBC05E6}"/>
    <cellStyle name="RISKtlandrEdge 6 14" xfId="7571" xr:uid="{CDAAA407-D483-442B-9D45-C82DFA53EB11}"/>
    <cellStyle name="RISKtlandrEdge 6 14 2" xfId="10705" xr:uid="{3369AD74-CCDB-4F2B-9763-2B173FE82603}"/>
    <cellStyle name="RISKtlandrEdge 6 15" xfId="7709" xr:uid="{76B2DB45-5F6F-4C52-8C57-3B435A88BE24}"/>
    <cellStyle name="RISKtlandrEdge 6 15 2" xfId="10842" xr:uid="{5CB9D1F0-F789-40D7-9201-19AA41A56EAB}"/>
    <cellStyle name="RISKtlandrEdge 6 16" xfId="4593" xr:uid="{F5468211-120D-4B17-A5AC-D52C4890C045}"/>
    <cellStyle name="RISKtlandrEdge 6 17" xfId="7813" xr:uid="{93D690FB-48A5-4526-9AB9-D612E2C55116}"/>
    <cellStyle name="RISKtlandrEdge 6 18" xfId="11095" xr:uid="{E0072E81-8819-479D-936D-9E38BDBBE6EC}"/>
    <cellStyle name="RISKtlandrEdge 6 19" xfId="11511" xr:uid="{DABAD9A2-F442-4A2C-8A99-8E924ACE7906}"/>
    <cellStyle name="RISKtlandrEdge 6 2" xfId="1105" xr:uid="{00000000-0005-0000-0000-00000F070000}"/>
    <cellStyle name="RISKtlandrEdge 6 2 10" xfId="3288" xr:uid="{EB9C690B-DD32-4191-BD5A-EF32A8A4415A}"/>
    <cellStyle name="RISKtlandrEdge 6 2 10 2" xfId="6707" xr:uid="{A1F91AFE-C741-4DC4-A096-7E5AA0DB2204}"/>
    <cellStyle name="RISKtlandrEdge 6 2 10 3" xfId="9872" xr:uid="{BD7F6FD7-12EC-41BB-A616-BB50F2E74CB5}"/>
    <cellStyle name="RISKtlandrEdge 6 2 11" xfId="6969" xr:uid="{1BBF10B0-88AF-44D6-8E83-F1C334264F93}"/>
    <cellStyle name="RISKtlandrEdge 6 2 11 2" xfId="10114" xr:uid="{CBBD310D-610C-48F1-8C7C-035A596D645E}"/>
    <cellStyle name="RISKtlandrEdge 6 2 12" xfId="7218" xr:uid="{F7C00A5B-B838-4804-A59F-FED77964A224}"/>
    <cellStyle name="RISKtlandrEdge 6 2 12 2" xfId="10357" xr:uid="{45ED934C-634D-4C7E-844A-94405EEB5FD6}"/>
    <cellStyle name="RISKtlandrEdge 6 2 13" xfId="7572" xr:uid="{F441AA03-9749-46BF-BCC2-1F6AF6810AF6}"/>
    <cellStyle name="RISKtlandrEdge 6 2 13 2" xfId="10706" xr:uid="{349BE248-F15D-4646-A651-CA149C92EE7C}"/>
    <cellStyle name="RISKtlandrEdge 6 2 14" xfId="7710" xr:uid="{A231CDA8-FF0A-4B5B-A704-7CCFF7F51322}"/>
    <cellStyle name="RISKtlandrEdge 6 2 14 2" xfId="10843" xr:uid="{857E7C63-EE6D-460E-B112-767CFE02FF89}"/>
    <cellStyle name="RISKtlandrEdge 6 2 15" xfId="4594" xr:uid="{3B4DD1C0-475F-49FD-BD92-1BA37DF25D21}"/>
    <cellStyle name="RISKtlandrEdge 6 2 16" xfId="7814" xr:uid="{A0493507-91B7-4FF1-A2AA-305DAD8137FF}"/>
    <cellStyle name="RISKtlandrEdge 6 2 17" xfId="11096" xr:uid="{F7779A50-947F-4B1F-B697-9F964A2EE819}"/>
    <cellStyle name="RISKtlandrEdge 6 2 18" xfId="11512" xr:uid="{417B3813-7FF2-4AC6-836C-2C212728710E}"/>
    <cellStyle name="RISKtlandrEdge 6 2 19" xfId="11661" xr:uid="{A5D6378B-08D5-4F73-B3CB-D6BB93508E2E}"/>
    <cellStyle name="RISKtlandrEdge 6 2 2" xfId="1364" xr:uid="{00000000-0005-0000-0000-000010070000}"/>
    <cellStyle name="RISKtlandrEdge 6 2 2 2" xfId="3475" xr:uid="{00408FF2-F22B-4AB4-B0C8-EFDF6DDA36E0}"/>
    <cellStyle name="RISKtlandrEdge 6 2 2 3" xfId="4781" xr:uid="{CB27D638-CD95-4952-84C9-31DE5B91B716}"/>
    <cellStyle name="RISKtlandrEdge 6 2 2 4" xfId="7991" xr:uid="{3C9201EB-B17B-41D2-8A08-E2882FAFBF51}"/>
    <cellStyle name="RISKtlandrEdge 6 2 20" xfId="11955" xr:uid="{60A83EAE-4ED9-48F7-B445-85C37C9ED9CB}"/>
    <cellStyle name="RISKtlandrEdge 6 2 21" xfId="12207" xr:uid="{3E0066A9-0C43-4FA9-A850-8D52400D9D69}"/>
    <cellStyle name="RISKtlandrEdge 6 2 22" xfId="12649" xr:uid="{406704BE-77C9-4E2E-A509-386328E91ACA}"/>
    <cellStyle name="RISKtlandrEdge 6 2 23" xfId="12814" xr:uid="{B636E533-62ED-44CA-87DE-859B286301E9}"/>
    <cellStyle name="RISKtlandrEdge 6 2 24" xfId="12955" xr:uid="{61C2B17E-94E2-4271-9C79-6F07F5669899}"/>
    <cellStyle name="RISKtlandrEdge 6 2 25" xfId="13317" xr:uid="{DF9B31C1-21CD-4BE6-8845-48F8E7FF136F}"/>
    <cellStyle name="RISKtlandrEdge 6 2 26" xfId="13446" xr:uid="{B4B87FBF-E028-40AC-960E-4274343BB8F5}"/>
    <cellStyle name="RISKtlandrEdge 6 2 3" xfId="1613" xr:uid="{00000000-0005-0000-0000-000011070000}"/>
    <cellStyle name="RISKtlandrEdge 6 2 3 2" xfId="3714" xr:uid="{BC47C644-6AA4-4CDD-8EC8-2D7E8B7E3D42}"/>
    <cellStyle name="RISKtlandrEdge 6 2 3 3" xfId="5022" xr:uid="{E1A73AF2-780C-489C-8C77-243C08C94E1C}"/>
    <cellStyle name="RISKtlandrEdge 6 2 3 4" xfId="8229" xr:uid="{FF05B0B8-BBBC-40B4-8FC7-02C7BCC053FE}"/>
    <cellStyle name="RISKtlandrEdge 6 2 4" xfId="1870" xr:uid="{00000000-0005-0000-0000-000012070000}"/>
    <cellStyle name="RISKtlandrEdge 6 2 4 2" xfId="3970" xr:uid="{9964FC8D-A2E6-4407-AC8A-0A59613BE6DF}"/>
    <cellStyle name="RISKtlandrEdge 6 2 4 3" xfId="5274" xr:uid="{068CC9EB-3B3C-4BEB-B6C3-FBA84CE98797}"/>
    <cellStyle name="RISKtlandrEdge 6 2 4 4" xfId="8468" xr:uid="{2A9D7949-E383-486F-82BA-7C19343C3C85}"/>
    <cellStyle name="RISKtlandrEdge 6 2 5" xfId="2124" xr:uid="{00000000-0005-0000-0000-000013070000}"/>
    <cellStyle name="RISKtlandrEdge 6 2 5 2" xfId="4214" xr:uid="{4A131364-3FEC-42D1-AAE8-CC31F51821CB}"/>
    <cellStyle name="RISKtlandrEdge 6 2 5 3" xfId="5512" xr:uid="{4138D394-53DA-4F53-9BAA-52450846A521}"/>
    <cellStyle name="RISKtlandrEdge 6 2 5 4" xfId="8704" xr:uid="{23E743D9-4010-4DA7-BE28-A3C214566C1F}"/>
    <cellStyle name="RISKtlandrEdge 6 2 6" xfId="2366" xr:uid="{CD027AA9-AD07-4878-B1EA-0E9EA45CD2AC}"/>
    <cellStyle name="RISKtlandrEdge 6 2 6 2" xfId="5748" xr:uid="{A6019F79-AF8F-4193-BF10-FE01F2A75262}"/>
    <cellStyle name="RISKtlandrEdge 6 2 6 3" xfId="8940" xr:uid="{2B8D5BF7-F657-4D74-85B6-19178B20EDA5}"/>
    <cellStyle name="RISKtlandrEdge 6 2 7" xfId="2602" xr:uid="{82C2E904-8EEC-4CA5-8AD6-69D75B3C7DC1}"/>
    <cellStyle name="RISKtlandrEdge 6 2 7 2" xfId="5978" xr:uid="{16DE0A42-49CC-4956-BAC8-732B3515846B}"/>
    <cellStyle name="RISKtlandrEdge 6 2 7 3" xfId="9170" xr:uid="{DCE40C22-D6D1-4DF6-AF01-14355A37C30C}"/>
    <cellStyle name="RISKtlandrEdge 6 2 8" xfId="2841" xr:uid="{9ABDDE0B-03D1-49F0-9993-299D7E6C9EAF}"/>
    <cellStyle name="RISKtlandrEdge 6 2 8 2" xfId="6211" xr:uid="{11EAA5C5-5E4D-48FB-8B3D-1635CEBFB02F}"/>
    <cellStyle name="RISKtlandrEdge 6 2 8 3" xfId="9400" xr:uid="{33F41215-808B-4A86-870A-F64C78F87A67}"/>
    <cellStyle name="RISKtlandrEdge 6 2 9" xfId="3046" xr:uid="{4DABA9E2-0758-44F2-A922-023E720A9C92}"/>
    <cellStyle name="RISKtlandrEdge 6 2 9 2" xfId="6444" xr:uid="{705D7551-BC25-4F37-BA64-D3FF7637C01F}"/>
    <cellStyle name="RISKtlandrEdge 6 2 9 3" xfId="9630" xr:uid="{90450A65-1A74-4B14-9905-9AF9AD1BE9A7}"/>
    <cellStyle name="RISKtlandrEdge 6 20" xfId="11660" xr:uid="{6E072128-92BA-4904-81DD-C3DF604812D3}"/>
    <cellStyle name="RISKtlandrEdge 6 21" xfId="11954" xr:uid="{A206F839-A246-49BB-8B9D-E870A4D62D2A}"/>
    <cellStyle name="RISKtlandrEdge 6 22" xfId="12206" xr:uid="{DBC7F51F-F5ED-4296-95CC-C472F5F03A5B}"/>
    <cellStyle name="RISKtlandrEdge 6 23" xfId="12648" xr:uid="{D32AF546-C2D9-4FE8-B1C1-97F8E2ED77FE}"/>
    <cellStyle name="RISKtlandrEdge 6 24" xfId="12813" xr:uid="{E5EDFA93-F0AF-44BE-912F-F0A2FEC83AF9}"/>
    <cellStyle name="RISKtlandrEdge 6 25" xfId="12954" xr:uid="{C42150A5-3F81-40B9-8DDF-1EC31B5C0193}"/>
    <cellStyle name="RISKtlandrEdge 6 26" xfId="13316" xr:uid="{160A8902-EE8D-4193-BFDF-15F8502D6F9F}"/>
    <cellStyle name="RISKtlandrEdge 6 27" xfId="13445" xr:uid="{D7E1C5B1-7524-49C8-AC03-09B861A9A82E}"/>
    <cellStyle name="RISKtlandrEdge 6 3" xfId="1363" xr:uid="{00000000-0005-0000-0000-000014070000}"/>
    <cellStyle name="RISKtlandrEdge 6 3 2" xfId="3474" xr:uid="{1FF20554-63AA-4D6B-BD97-84531EBEB841}"/>
    <cellStyle name="RISKtlandrEdge 6 3 3" xfId="4780" xr:uid="{DE2C3BE9-624A-41CE-810C-FF33077B45B0}"/>
    <cellStyle name="RISKtlandrEdge 6 3 4" xfId="7990" xr:uid="{43A6071B-05A8-42D1-838E-2BE6D8D90F62}"/>
    <cellStyle name="RISKtlandrEdge 6 4" xfId="1612" xr:uid="{00000000-0005-0000-0000-000015070000}"/>
    <cellStyle name="RISKtlandrEdge 6 4 2" xfId="3713" xr:uid="{C75D9D2C-C819-4F06-B306-597D706BC2E4}"/>
    <cellStyle name="RISKtlandrEdge 6 4 3" xfId="5021" xr:uid="{91D07532-4551-48E7-ADD7-B63325479463}"/>
    <cellStyle name="RISKtlandrEdge 6 4 4" xfId="8228" xr:uid="{F36C8933-71AA-4E1A-9305-93A697F7CF25}"/>
    <cellStyle name="RISKtlandrEdge 6 5" xfId="1869" xr:uid="{00000000-0005-0000-0000-000016070000}"/>
    <cellStyle name="RISKtlandrEdge 6 5 2" xfId="3969" xr:uid="{D321C78C-3A89-4562-8B39-FA79F01EBC0D}"/>
    <cellStyle name="RISKtlandrEdge 6 5 3" xfId="5273" xr:uid="{F4BF5C93-C10B-490A-AE30-7CE8600B4B91}"/>
    <cellStyle name="RISKtlandrEdge 6 5 4" xfId="8467" xr:uid="{88BD132B-DA4D-4348-8B4C-76DAE1B79009}"/>
    <cellStyle name="RISKtlandrEdge 6 6" xfId="2123" xr:uid="{00000000-0005-0000-0000-000017070000}"/>
    <cellStyle name="RISKtlandrEdge 6 6 2" xfId="4213" xr:uid="{49DD6949-B3A3-4FD1-A733-FAB4EB55B618}"/>
    <cellStyle name="RISKtlandrEdge 6 6 3" xfId="5511" xr:uid="{A71AC4D4-1103-4EA9-98DD-E446A8A0D3B8}"/>
    <cellStyle name="RISKtlandrEdge 6 6 4" xfId="8703" xr:uid="{E5CE177D-F37C-46ED-B3DF-72F5A0689A30}"/>
    <cellStyle name="RISKtlandrEdge 6 7" xfId="2365" xr:uid="{63ED5E46-1618-47D6-A25C-D9034181200A}"/>
    <cellStyle name="RISKtlandrEdge 6 7 2" xfId="5747" xr:uid="{38C33411-5513-4C52-9CD9-E56DDD9DCBA7}"/>
    <cellStyle name="RISKtlandrEdge 6 7 3" xfId="8939" xr:uid="{0003B7F0-1B00-40DC-8D62-E7FA98E7932E}"/>
    <cellStyle name="RISKtlandrEdge 6 8" xfId="2601" xr:uid="{D85F7194-EA9D-4DEB-8F38-B98256B4FC57}"/>
    <cellStyle name="RISKtlandrEdge 6 8 2" xfId="5977" xr:uid="{307BBBBF-77E4-4B49-BE47-BD7C8F75E847}"/>
    <cellStyle name="RISKtlandrEdge 6 8 3" xfId="9169" xr:uid="{E2301DBF-C73F-4C61-BD6C-25364B4321F8}"/>
    <cellStyle name="RISKtlandrEdge 6 9" xfId="2840" xr:uid="{11201C79-1FCF-474D-BEDA-0B2865039951}"/>
    <cellStyle name="RISKtlandrEdge 6 9 2" xfId="6210" xr:uid="{CB5F74D4-FAA1-4B94-986F-312B6A8B71FF}"/>
    <cellStyle name="RISKtlandrEdge 6 9 3" xfId="9399" xr:uid="{D73DB442-52C8-4103-AA10-C072221D64C8}"/>
    <cellStyle name="RISKtlandrEdge 7" xfId="1106" xr:uid="{00000000-0005-0000-0000-000018070000}"/>
    <cellStyle name="RISKtlandrEdge 7 10" xfId="2842" xr:uid="{6512741C-4397-4C0A-96F4-2AD0ECBA6B0C}"/>
    <cellStyle name="RISKtlandrEdge 7 10 2" xfId="6212" xr:uid="{0CE5C038-656E-42A7-B5E3-C2A9109B7152}"/>
    <cellStyle name="RISKtlandrEdge 7 10 3" xfId="9401" xr:uid="{F826EAEF-9FB1-493B-A99B-364CB251A810}"/>
    <cellStyle name="RISKtlandrEdge 7 11" xfId="3047" xr:uid="{A1CA029F-B32C-44FB-89F3-47F52F0E706E}"/>
    <cellStyle name="RISKtlandrEdge 7 11 2" xfId="6445" xr:uid="{5B07451F-183E-4C18-93BF-2F54F5CEE671}"/>
    <cellStyle name="RISKtlandrEdge 7 11 3" xfId="9631" xr:uid="{8E4629D1-47B5-4879-927F-6DDDDD7782BA}"/>
    <cellStyle name="RISKtlandrEdge 7 12" xfId="3289" xr:uid="{DE16C477-9AEC-483B-A3CD-52FDA21603E6}"/>
    <cellStyle name="RISKtlandrEdge 7 12 2" xfId="6708" xr:uid="{3220BAB6-FEBF-4DB0-BD49-CC9514F9DC57}"/>
    <cellStyle name="RISKtlandrEdge 7 12 3" xfId="9873" xr:uid="{51044BC6-2617-44BA-B2C8-F4810EDAA4D9}"/>
    <cellStyle name="RISKtlandrEdge 7 13" xfId="6970" xr:uid="{7521DDAE-D45B-4DC9-813D-F05D4BEAC494}"/>
    <cellStyle name="RISKtlandrEdge 7 13 2" xfId="10115" xr:uid="{6BBA4510-93D7-4F8D-B702-0DCAAC0627A6}"/>
    <cellStyle name="RISKtlandrEdge 7 14" xfId="7219" xr:uid="{5D80075C-D49A-4A7A-91A4-21F168813BBA}"/>
    <cellStyle name="RISKtlandrEdge 7 14 2" xfId="10358" xr:uid="{51F6DE6B-2003-4FE2-BA3C-A63069432DB9}"/>
    <cellStyle name="RISKtlandrEdge 7 15" xfId="7573" xr:uid="{F1B47103-E599-4A4D-906A-626FD2171C1F}"/>
    <cellStyle name="RISKtlandrEdge 7 15 2" xfId="10707" xr:uid="{9CF481F0-A3E9-43D9-882D-28688F8E1D7E}"/>
    <cellStyle name="RISKtlandrEdge 7 16" xfId="7711" xr:uid="{E1E43439-BD21-42A2-8A50-0B1BD69A6E08}"/>
    <cellStyle name="RISKtlandrEdge 7 16 2" xfId="10844" xr:uid="{F0DB4361-710B-4F46-8E21-A60BD74B6079}"/>
    <cellStyle name="RISKtlandrEdge 7 17" xfId="4595" xr:uid="{3D453905-DE43-4221-B716-B6BD362CB137}"/>
    <cellStyle name="RISKtlandrEdge 7 18" xfId="7815" xr:uid="{A7D562AE-6A49-4EE7-A0B8-3E4A7D5CEE6E}"/>
    <cellStyle name="RISKtlandrEdge 7 19" xfId="11097" xr:uid="{ADCC4572-E6BE-4693-911B-2DB997CDC393}"/>
    <cellStyle name="RISKtlandrEdge 7 2" xfId="1107" xr:uid="{00000000-0005-0000-0000-000019070000}"/>
    <cellStyle name="RISKtlandrEdge 7 2 10" xfId="3290" xr:uid="{8D7D561C-2552-43FD-95EB-D84E5A0CEB0E}"/>
    <cellStyle name="RISKtlandrEdge 7 2 10 2" xfId="6709" xr:uid="{018B2A2C-906B-4F03-9286-88B55F558AF5}"/>
    <cellStyle name="RISKtlandrEdge 7 2 10 3" xfId="9874" xr:uid="{A6CDC071-ED9B-454D-95D1-4D3FE54DF069}"/>
    <cellStyle name="RISKtlandrEdge 7 2 11" xfId="6971" xr:uid="{13B1F497-8E5D-4E10-911E-4BDEBDA9E773}"/>
    <cellStyle name="RISKtlandrEdge 7 2 11 2" xfId="10116" xr:uid="{48D9FCDD-6B58-4F23-BB37-ED6B824BDBCD}"/>
    <cellStyle name="RISKtlandrEdge 7 2 12" xfId="7220" xr:uid="{F598C15B-B1A6-49C1-B1F0-56A2AA920B34}"/>
    <cellStyle name="RISKtlandrEdge 7 2 12 2" xfId="10359" xr:uid="{EF5E53F3-2A17-480A-B37B-7D1C4C38E49B}"/>
    <cellStyle name="RISKtlandrEdge 7 2 13" xfId="7574" xr:uid="{8D23D66D-D778-42BB-B327-AFB346C31E2E}"/>
    <cellStyle name="RISKtlandrEdge 7 2 13 2" xfId="10708" xr:uid="{B72F8FA8-755C-4C28-AE56-CF7F7E792CDF}"/>
    <cellStyle name="RISKtlandrEdge 7 2 14" xfId="7712" xr:uid="{4CDD6729-E7B3-4202-8EA2-4A59E2E7496F}"/>
    <cellStyle name="RISKtlandrEdge 7 2 14 2" xfId="10845" xr:uid="{C0179496-EA43-46D7-8FD1-190148C14953}"/>
    <cellStyle name="RISKtlandrEdge 7 2 15" xfId="4596" xr:uid="{F8740C4D-7548-42F8-BA0F-11724A9A789A}"/>
    <cellStyle name="RISKtlandrEdge 7 2 16" xfId="7816" xr:uid="{B6C5DF67-85B9-4258-AB3D-AED99E7B1828}"/>
    <cellStyle name="RISKtlandrEdge 7 2 17" xfId="11098" xr:uid="{27D696F7-6D70-438F-A35D-B88F2E5F7E3A}"/>
    <cellStyle name="RISKtlandrEdge 7 2 18" xfId="11514" xr:uid="{E313CF5F-4823-45D3-82D7-435E156390AF}"/>
    <cellStyle name="RISKtlandrEdge 7 2 19" xfId="11663" xr:uid="{6D378AF7-243F-4570-9D85-AFEF59FA00E8}"/>
    <cellStyle name="RISKtlandrEdge 7 2 2" xfId="1366" xr:uid="{00000000-0005-0000-0000-00001A070000}"/>
    <cellStyle name="RISKtlandrEdge 7 2 2 2" xfId="3477" xr:uid="{F9435543-9B7E-4CFC-9B3F-5409B2EFA0A5}"/>
    <cellStyle name="RISKtlandrEdge 7 2 2 3" xfId="4783" xr:uid="{4C9DC13F-DF45-4847-BA46-CF9DE8F5B4F1}"/>
    <cellStyle name="RISKtlandrEdge 7 2 2 4" xfId="7993" xr:uid="{E73E2833-908E-4F51-BC34-1ED39804F7D3}"/>
    <cellStyle name="RISKtlandrEdge 7 2 20" xfId="11957" xr:uid="{86FD6C68-5F4C-4C5A-BEFF-750C3A5165DF}"/>
    <cellStyle name="RISKtlandrEdge 7 2 21" xfId="12209" xr:uid="{F494DC76-DE70-4145-93A6-6443987E63D7}"/>
    <cellStyle name="RISKtlandrEdge 7 2 22" xfId="12651" xr:uid="{EA19F5D9-43FE-4EBA-871E-E4549174546E}"/>
    <cellStyle name="RISKtlandrEdge 7 2 23" xfId="12816" xr:uid="{A2D7D2CC-C144-4697-A6EB-61E80E4CE720}"/>
    <cellStyle name="RISKtlandrEdge 7 2 24" xfId="12957" xr:uid="{C0F95722-91B9-4D17-B93D-1031250D3CEF}"/>
    <cellStyle name="RISKtlandrEdge 7 2 25" xfId="13319" xr:uid="{D7DFE8FF-8C70-44E0-AE1D-C17945628AA0}"/>
    <cellStyle name="RISKtlandrEdge 7 2 26" xfId="13448" xr:uid="{1899C486-5696-400A-8166-B030D9117B4A}"/>
    <cellStyle name="RISKtlandrEdge 7 2 3" xfId="1615" xr:uid="{00000000-0005-0000-0000-00001B070000}"/>
    <cellStyle name="RISKtlandrEdge 7 2 3 2" xfId="3716" xr:uid="{2937D3BD-CAA6-48DE-829B-BE7A27511D74}"/>
    <cellStyle name="RISKtlandrEdge 7 2 3 3" xfId="5024" xr:uid="{75794B17-A9F0-4EB1-9FF7-3B15A31B998C}"/>
    <cellStyle name="RISKtlandrEdge 7 2 3 4" xfId="8231" xr:uid="{7FDBB64B-3C68-4DE0-9ECD-2001A6EBBC90}"/>
    <cellStyle name="RISKtlandrEdge 7 2 4" xfId="1872" xr:uid="{00000000-0005-0000-0000-00001C070000}"/>
    <cellStyle name="RISKtlandrEdge 7 2 4 2" xfId="3972" xr:uid="{8F3E3F53-13C2-4A33-ADC9-9649344D7DEF}"/>
    <cellStyle name="RISKtlandrEdge 7 2 4 3" xfId="5276" xr:uid="{6A8206FF-9328-4652-BD5C-736BFE39FCAE}"/>
    <cellStyle name="RISKtlandrEdge 7 2 4 4" xfId="8470" xr:uid="{66F3527B-B156-46B4-A9AD-C96783E6CE60}"/>
    <cellStyle name="RISKtlandrEdge 7 2 5" xfId="2126" xr:uid="{00000000-0005-0000-0000-00001D070000}"/>
    <cellStyle name="RISKtlandrEdge 7 2 5 2" xfId="4216" xr:uid="{51BB06C9-65CC-4F5C-90EE-50DBE34F8936}"/>
    <cellStyle name="RISKtlandrEdge 7 2 5 3" xfId="5514" xr:uid="{545675F7-78BB-43C6-A767-CC311DA36207}"/>
    <cellStyle name="RISKtlandrEdge 7 2 5 4" xfId="8706" xr:uid="{E97D842B-B11B-4A61-A295-BE70151FD55A}"/>
    <cellStyle name="RISKtlandrEdge 7 2 6" xfId="2368" xr:uid="{511B00DA-25FA-4F49-9364-6FAE00091518}"/>
    <cellStyle name="RISKtlandrEdge 7 2 6 2" xfId="5750" xr:uid="{37BCB74A-83D4-453B-9CA9-A089E120BC69}"/>
    <cellStyle name="RISKtlandrEdge 7 2 6 3" xfId="8942" xr:uid="{F678D1D4-EAA9-48A0-8D4E-1F2E10032991}"/>
    <cellStyle name="RISKtlandrEdge 7 2 7" xfId="2604" xr:uid="{20D2D95A-0179-4206-BF50-C4F76D3D7FDF}"/>
    <cellStyle name="RISKtlandrEdge 7 2 7 2" xfId="5980" xr:uid="{4AE1D13B-BC5F-41CB-9DAF-B2582EA04531}"/>
    <cellStyle name="RISKtlandrEdge 7 2 7 3" xfId="9172" xr:uid="{C0528880-EE07-4B90-8601-2D3F08BC613B}"/>
    <cellStyle name="RISKtlandrEdge 7 2 8" xfId="2843" xr:uid="{9F7A2D48-F2B2-4717-BB19-92B66E323743}"/>
    <cellStyle name="RISKtlandrEdge 7 2 8 2" xfId="6213" xr:uid="{B19F748B-C096-4940-B121-B6FDDAC1882F}"/>
    <cellStyle name="RISKtlandrEdge 7 2 8 3" xfId="9402" xr:uid="{E872BA5A-837E-44A9-8833-DD99514F6187}"/>
    <cellStyle name="RISKtlandrEdge 7 2 9" xfId="3048" xr:uid="{559DDA16-8C95-4555-B2C3-D08DBB1437F1}"/>
    <cellStyle name="RISKtlandrEdge 7 2 9 2" xfId="6446" xr:uid="{8076B2E2-A247-401C-A12E-7F5CEE2DAE9B}"/>
    <cellStyle name="RISKtlandrEdge 7 2 9 3" xfId="9632" xr:uid="{839E09EC-B700-437C-90AD-978DA750A564}"/>
    <cellStyle name="RISKtlandrEdge 7 20" xfId="11513" xr:uid="{B6C8109D-F445-4F1D-AC5D-AE4C665C3FD2}"/>
    <cellStyle name="RISKtlandrEdge 7 21" xfId="11662" xr:uid="{0824896D-B39A-4D57-9F7F-8DE43BE64A63}"/>
    <cellStyle name="RISKtlandrEdge 7 22" xfId="11956" xr:uid="{3EEC2B12-A3EE-46D2-98EE-316E8C05F63F}"/>
    <cellStyle name="RISKtlandrEdge 7 23" xfId="12208" xr:uid="{44A26DE2-5650-4EC3-A52B-8CA3502E5616}"/>
    <cellStyle name="RISKtlandrEdge 7 24" xfId="12650" xr:uid="{FEE95C15-5FF4-4606-BDC8-04B869374088}"/>
    <cellStyle name="RISKtlandrEdge 7 25" xfId="12815" xr:uid="{C6571BD3-84CA-4F55-9FA9-B074CA400D95}"/>
    <cellStyle name="RISKtlandrEdge 7 26" xfId="12956" xr:uid="{D81AC639-ED5E-4844-B63D-BB3055417DBF}"/>
    <cellStyle name="RISKtlandrEdge 7 27" xfId="13318" xr:uid="{1142D027-CC8E-4BFA-8AD1-0B946B4DA3BF}"/>
    <cellStyle name="RISKtlandrEdge 7 28" xfId="13447" xr:uid="{8F5C3C80-1273-40AA-9B13-FB72A98D6693}"/>
    <cellStyle name="RISKtlandrEdge 7 3" xfId="1108" xr:uid="{00000000-0005-0000-0000-00001E070000}"/>
    <cellStyle name="RISKtlandrEdge 7 3 10" xfId="3291" xr:uid="{EC22A5E1-6606-417E-99E0-EE446E1ACF8B}"/>
    <cellStyle name="RISKtlandrEdge 7 3 10 2" xfId="6710" xr:uid="{08D03C86-6217-4B8E-A07F-8263422694DD}"/>
    <cellStyle name="RISKtlandrEdge 7 3 10 3" xfId="9875" xr:uid="{AD77DF93-6EE0-47D8-9AAB-37B23A9B9697}"/>
    <cellStyle name="RISKtlandrEdge 7 3 11" xfId="6972" xr:uid="{702A9C73-8FAE-486A-8734-788C1D7973B5}"/>
    <cellStyle name="RISKtlandrEdge 7 3 11 2" xfId="10117" xr:uid="{B4360F02-2B75-4F95-9596-6C1C48E9FC6A}"/>
    <cellStyle name="RISKtlandrEdge 7 3 12" xfId="7221" xr:uid="{F5FF3CFA-6BB8-4A46-B5F4-57FA906F66FA}"/>
    <cellStyle name="RISKtlandrEdge 7 3 12 2" xfId="10360" xr:uid="{85381BCD-37A1-4639-A07F-FC8B06F8AFC8}"/>
    <cellStyle name="RISKtlandrEdge 7 3 13" xfId="7575" xr:uid="{0662DC0F-195B-4C8B-AC58-96A2FA0DEF28}"/>
    <cellStyle name="RISKtlandrEdge 7 3 13 2" xfId="10709" xr:uid="{852AF373-0134-4410-8025-00DF0613DAA0}"/>
    <cellStyle name="RISKtlandrEdge 7 3 14" xfId="7713" xr:uid="{305DCE8D-F59B-416C-A1E0-9590A49577D7}"/>
    <cellStyle name="RISKtlandrEdge 7 3 14 2" xfId="10846" xr:uid="{749201A8-7238-4A59-A04A-EB284711C926}"/>
    <cellStyle name="RISKtlandrEdge 7 3 15" xfId="4597" xr:uid="{821719BF-30A6-4863-8294-F2D282764794}"/>
    <cellStyle name="RISKtlandrEdge 7 3 16" xfId="7817" xr:uid="{8533DB17-DD2A-4A02-AA58-2BBE121BCAF8}"/>
    <cellStyle name="RISKtlandrEdge 7 3 17" xfId="11099" xr:uid="{E8B89DA2-63C7-4A05-BAD6-C3ECF8EA049F}"/>
    <cellStyle name="RISKtlandrEdge 7 3 18" xfId="11515" xr:uid="{00F6FF97-7D4D-43C1-B133-07907B63F385}"/>
    <cellStyle name="RISKtlandrEdge 7 3 19" xfId="11664" xr:uid="{19A9ADB7-D6FD-484A-81B5-E71B068B61E1}"/>
    <cellStyle name="RISKtlandrEdge 7 3 2" xfId="1367" xr:uid="{00000000-0005-0000-0000-00001F070000}"/>
    <cellStyle name="RISKtlandrEdge 7 3 2 2" xfId="3478" xr:uid="{4C921788-4635-47C1-9A80-B28517263208}"/>
    <cellStyle name="RISKtlandrEdge 7 3 2 3" xfId="4784" xr:uid="{BCCB6CE3-A735-4AAF-BBF3-BE9DC0F1BB84}"/>
    <cellStyle name="RISKtlandrEdge 7 3 2 4" xfId="7994" xr:uid="{91F0F2D8-E0E5-4EDB-B1D1-311DCCD7092F}"/>
    <cellStyle name="RISKtlandrEdge 7 3 20" xfId="11958" xr:uid="{1EDE9DF4-4EA9-4809-825E-9120C1441034}"/>
    <cellStyle name="RISKtlandrEdge 7 3 21" xfId="12210" xr:uid="{8C9C7CD2-1162-41C2-88F0-668794BBC13B}"/>
    <cellStyle name="RISKtlandrEdge 7 3 22" xfId="12652" xr:uid="{03C7E831-5A31-406C-B21B-FC2E5DBE72B2}"/>
    <cellStyle name="RISKtlandrEdge 7 3 23" xfId="12817" xr:uid="{72C8BF99-9162-4B5E-B4B4-D1003D08AD64}"/>
    <cellStyle name="RISKtlandrEdge 7 3 24" xfId="12958" xr:uid="{5F16D22A-5438-4797-936F-53D3CF6150E7}"/>
    <cellStyle name="RISKtlandrEdge 7 3 25" xfId="13320" xr:uid="{7772851C-9295-46E7-BDD1-AC536F6E2DB0}"/>
    <cellStyle name="RISKtlandrEdge 7 3 26" xfId="13449" xr:uid="{0D8299EA-360B-4375-A40F-EBCD85F0ECFF}"/>
    <cellStyle name="RISKtlandrEdge 7 3 3" xfId="1616" xr:uid="{00000000-0005-0000-0000-000020070000}"/>
    <cellStyle name="RISKtlandrEdge 7 3 3 2" xfId="3717" xr:uid="{9EBC27F9-EE6A-4552-8981-9A5E46E66B19}"/>
    <cellStyle name="RISKtlandrEdge 7 3 3 3" xfId="5025" xr:uid="{AB7AEB32-AB2F-4F51-B886-44B99A40308B}"/>
    <cellStyle name="RISKtlandrEdge 7 3 3 4" xfId="8232" xr:uid="{42BA9ECE-DF0B-434D-8938-514D42BBA01F}"/>
    <cellStyle name="RISKtlandrEdge 7 3 4" xfId="1873" xr:uid="{00000000-0005-0000-0000-000021070000}"/>
    <cellStyle name="RISKtlandrEdge 7 3 4 2" xfId="3973" xr:uid="{4CBD6F88-8474-481E-86E7-5917EB0573D7}"/>
    <cellStyle name="RISKtlandrEdge 7 3 4 3" xfId="5277" xr:uid="{7FCD39E1-0257-4735-BBA1-9B9792204582}"/>
    <cellStyle name="RISKtlandrEdge 7 3 4 4" xfId="8471" xr:uid="{01708D2A-56CA-4715-AE52-B68E3B6891F1}"/>
    <cellStyle name="RISKtlandrEdge 7 3 5" xfId="2127" xr:uid="{00000000-0005-0000-0000-000022070000}"/>
    <cellStyle name="RISKtlandrEdge 7 3 5 2" xfId="4217" xr:uid="{60BD0281-EEDD-4960-A81A-85E7DE7D53B8}"/>
    <cellStyle name="RISKtlandrEdge 7 3 5 3" xfId="5515" xr:uid="{5CD8A6F0-5957-4D50-9E95-53095AD1ECE8}"/>
    <cellStyle name="RISKtlandrEdge 7 3 5 4" xfId="8707" xr:uid="{55161CD3-1978-4982-BD8A-E8EAF91710F9}"/>
    <cellStyle name="RISKtlandrEdge 7 3 6" xfId="2369" xr:uid="{C71CCDF0-722E-436B-A548-EF8FDFB718F8}"/>
    <cellStyle name="RISKtlandrEdge 7 3 6 2" xfId="5751" xr:uid="{1F34583A-584F-4B94-AAC8-03E36A4D0C95}"/>
    <cellStyle name="RISKtlandrEdge 7 3 6 3" xfId="8943" xr:uid="{80ABC384-32BD-4BF8-9E6B-DB011EE2A8C1}"/>
    <cellStyle name="RISKtlandrEdge 7 3 7" xfId="2605" xr:uid="{A78AA5E1-CA59-4AB2-BF75-E8129F2A2BC8}"/>
    <cellStyle name="RISKtlandrEdge 7 3 7 2" xfId="5981" xr:uid="{229C95A4-17BB-477A-8EEF-772F276C84BC}"/>
    <cellStyle name="RISKtlandrEdge 7 3 7 3" xfId="9173" xr:uid="{31EB5BF5-95EF-4011-9CE4-39DEB7087D35}"/>
    <cellStyle name="RISKtlandrEdge 7 3 8" xfId="2844" xr:uid="{4C8860A3-3C1A-455B-86BB-DA88C02F414D}"/>
    <cellStyle name="RISKtlandrEdge 7 3 8 2" xfId="6214" xr:uid="{174DC1CD-EA7D-4BC2-9979-02FA98689D5D}"/>
    <cellStyle name="RISKtlandrEdge 7 3 8 3" xfId="9403" xr:uid="{5B52429D-3D45-4B58-90BC-96FCC481040F}"/>
    <cellStyle name="RISKtlandrEdge 7 3 9" xfId="3049" xr:uid="{BA1A61FC-BA51-477B-984A-BDCCA59118CD}"/>
    <cellStyle name="RISKtlandrEdge 7 3 9 2" xfId="6447" xr:uid="{502358BD-7D05-4863-B7D1-3ACA938898E5}"/>
    <cellStyle name="RISKtlandrEdge 7 3 9 3" xfId="9633" xr:uid="{F7955FA1-871C-48BF-A47F-2F1EC169F104}"/>
    <cellStyle name="RISKtlandrEdge 7 4" xfId="1365" xr:uid="{00000000-0005-0000-0000-000023070000}"/>
    <cellStyle name="RISKtlandrEdge 7 4 2" xfId="3476" xr:uid="{2A3197A4-E681-4D04-BF82-2445B14CED55}"/>
    <cellStyle name="RISKtlandrEdge 7 4 3" xfId="4782" xr:uid="{D9609B89-AAEA-4EBF-9DEA-D439DFCF398E}"/>
    <cellStyle name="RISKtlandrEdge 7 4 4" xfId="7992" xr:uid="{80F5835F-D8D3-415C-B696-A49E007665D9}"/>
    <cellStyle name="RISKtlandrEdge 7 5" xfId="1614" xr:uid="{00000000-0005-0000-0000-000024070000}"/>
    <cellStyle name="RISKtlandrEdge 7 5 2" xfId="3715" xr:uid="{5F28810B-15FE-4580-8687-E3A5753A54FD}"/>
    <cellStyle name="RISKtlandrEdge 7 5 3" xfId="5023" xr:uid="{F260E9AC-EF23-4BEA-972F-E873BC5745CC}"/>
    <cellStyle name="RISKtlandrEdge 7 5 4" xfId="8230" xr:uid="{557F906D-7618-49FE-B8F9-AE216F0ADC8C}"/>
    <cellStyle name="RISKtlandrEdge 7 6" xfId="1871" xr:uid="{00000000-0005-0000-0000-000025070000}"/>
    <cellStyle name="RISKtlandrEdge 7 6 2" xfId="3971" xr:uid="{0B9CFA3E-AA07-48EE-A35D-DE827475F4CD}"/>
    <cellStyle name="RISKtlandrEdge 7 6 3" xfId="5275" xr:uid="{43EEAB15-87A2-407C-8C7A-E09243A8B796}"/>
    <cellStyle name="RISKtlandrEdge 7 6 4" xfId="8469" xr:uid="{BFB7507D-9A0E-4D0E-BE70-8DBB79D77707}"/>
    <cellStyle name="RISKtlandrEdge 7 7" xfId="2125" xr:uid="{00000000-0005-0000-0000-000026070000}"/>
    <cellStyle name="RISKtlandrEdge 7 7 2" xfId="4215" xr:uid="{E9ECF771-D4EB-485C-AEE9-9F66ADBC0BC1}"/>
    <cellStyle name="RISKtlandrEdge 7 7 3" xfId="5513" xr:uid="{F20B7376-70E4-4B8E-A025-A7319C7C3006}"/>
    <cellStyle name="RISKtlandrEdge 7 7 4" xfId="8705" xr:uid="{9E98589B-B83D-473D-AC77-3D40E02AD45A}"/>
    <cellStyle name="RISKtlandrEdge 7 8" xfId="2367" xr:uid="{8A1EF26F-D286-4C36-9B24-2B72F829DF08}"/>
    <cellStyle name="RISKtlandrEdge 7 8 2" xfId="5749" xr:uid="{047512AA-F610-48BD-9319-D68EB608DF6F}"/>
    <cellStyle name="RISKtlandrEdge 7 8 3" xfId="8941" xr:uid="{3F0AF367-4B62-4872-A18E-269E6AB265B3}"/>
    <cellStyle name="RISKtlandrEdge 7 9" xfId="2603" xr:uid="{1A6B21C6-B7B9-4015-A58B-F7344FE1C9A3}"/>
    <cellStyle name="RISKtlandrEdge 7 9 2" xfId="5979" xr:uid="{C3663693-F168-40BD-A803-A2DBD0881B83}"/>
    <cellStyle name="RISKtlandrEdge 7 9 3" xfId="9171" xr:uid="{9CEB1D14-11BA-4577-B5BE-003BEA02D975}"/>
    <cellStyle name="RISKtlandrEdge 8" xfId="1109" xr:uid="{00000000-0005-0000-0000-000027070000}"/>
    <cellStyle name="RISKtlandrEdge 8 10" xfId="3292" xr:uid="{71CDA4D5-7CD9-4F41-886B-E7539A56316E}"/>
    <cellStyle name="RISKtlandrEdge 8 10 2" xfId="6711" xr:uid="{0DE5738F-9D45-4A56-94EB-FFB33EE222A4}"/>
    <cellStyle name="RISKtlandrEdge 8 10 3" xfId="9876" xr:uid="{C0E6378E-4FF0-4E52-904B-478C30FA8C4C}"/>
    <cellStyle name="RISKtlandrEdge 8 11" xfId="6973" xr:uid="{E2F5375F-71F9-4312-9537-1599051D4917}"/>
    <cellStyle name="RISKtlandrEdge 8 11 2" xfId="10118" xr:uid="{6A01D1B9-8A7B-4AFA-B9A6-F235DFE4CAC6}"/>
    <cellStyle name="RISKtlandrEdge 8 12" xfId="7222" xr:uid="{DE25F517-4F77-4437-93AA-9D5525472DF2}"/>
    <cellStyle name="RISKtlandrEdge 8 12 2" xfId="10361" xr:uid="{3358B4B9-280D-48F2-9EF6-201E4E0C06DA}"/>
    <cellStyle name="RISKtlandrEdge 8 13" xfId="7576" xr:uid="{5B89F562-98E2-42F0-BE53-3C73A94897AD}"/>
    <cellStyle name="RISKtlandrEdge 8 13 2" xfId="10710" xr:uid="{EC555AD3-AD60-4886-AAEB-D3534AF8A841}"/>
    <cellStyle name="RISKtlandrEdge 8 14" xfId="7714" xr:uid="{9ED1592C-E791-4711-95BC-E0CE82C59B3B}"/>
    <cellStyle name="RISKtlandrEdge 8 14 2" xfId="10847" xr:uid="{683D17F8-4773-4E75-9548-ADF539AF537F}"/>
    <cellStyle name="RISKtlandrEdge 8 15" xfId="4598" xr:uid="{004BBCE8-9DAF-44D2-90C3-8D2F075505BD}"/>
    <cellStyle name="RISKtlandrEdge 8 16" xfId="7818" xr:uid="{999AA612-D680-458F-A158-32233284F8C2}"/>
    <cellStyle name="RISKtlandrEdge 8 17" xfId="11100" xr:uid="{5A83DA3B-22F6-4B44-8ADA-4BB20C649147}"/>
    <cellStyle name="RISKtlandrEdge 8 18" xfId="11516" xr:uid="{CBF42A18-C1EB-4221-B74A-DA88E46F1774}"/>
    <cellStyle name="RISKtlandrEdge 8 19" xfId="11665" xr:uid="{B4F4D22A-D506-4692-918C-3C4E07D6082F}"/>
    <cellStyle name="RISKtlandrEdge 8 2" xfId="1368" xr:uid="{00000000-0005-0000-0000-000028070000}"/>
    <cellStyle name="RISKtlandrEdge 8 2 2" xfId="3479" xr:uid="{463E3D9D-8AAC-4591-A652-0F50A7D48712}"/>
    <cellStyle name="RISKtlandrEdge 8 2 3" xfId="4785" xr:uid="{B8F326B7-F094-410B-975C-1493AEAFE3AF}"/>
    <cellStyle name="RISKtlandrEdge 8 2 4" xfId="7995" xr:uid="{7B3E1674-BCBE-4F47-B063-7878B06E7B19}"/>
    <cellStyle name="RISKtlandrEdge 8 20" xfId="11959" xr:uid="{2427BF24-3AEF-4AB1-B443-CA9626B35FDD}"/>
    <cellStyle name="RISKtlandrEdge 8 21" xfId="12211" xr:uid="{86470AAB-C85C-4D75-8DB3-0956C5E2D640}"/>
    <cellStyle name="RISKtlandrEdge 8 22" xfId="12653" xr:uid="{AB72A969-9453-4E73-AE8F-2DC120C22540}"/>
    <cellStyle name="RISKtlandrEdge 8 23" xfId="12818" xr:uid="{06DA9605-2FE2-4864-AD36-21F94F93E986}"/>
    <cellStyle name="RISKtlandrEdge 8 24" xfId="12959" xr:uid="{7B78996C-C366-430D-AAD6-1404EAE8F29F}"/>
    <cellStyle name="RISKtlandrEdge 8 25" xfId="13321" xr:uid="{E6F17048-F1D9-4B47-B072-5C84664A14DC}"/>
    <cellStyle name="RISKtlandrEdge 8 26" xfId="13450" xr:uid="{D5C06D5C-3443-4916-9D92-F9A5E8FF0D4C}"/>
    <cellStyle name="RISKtlandrEdge 8 3" xfId="1617" xr:uid="{00000000-0005-0000-0000-000029070000}"/>
    <cellStyle name="RISKtlandrEdge 8 3 2" xfId="3718" xr:uid="{9B713822-6EB5-4ED2-A6CB-7F932489CBED}"/>
    <cellStyle name="RISKtlandrEdge 8 3 3" xfId="5026" xr:uid="{C8D5CFF6-F174-4FA9-9FAC-28A20436F64C}"/>
    <cellStyle name="RISKtlandrEdge 8 3 4" xfId="8233" xr:uid="{1E6D9063-AE3B-466E-8C94-45B2630C9A13}"/>
    <cellStyle name="RISKtlandrEdge 8 4" xfId="1874" xr:uid="{00000000-0005-0000-0000-00002A070000}"/>
    <cellStyle name="RISKtlandrEdge 8 4 2" xfId="3974" xr:uid="{ED59194A-D3BC-4691-ADCF-CD0FE39CC68C}"/>
    <cellStyle name="RISKtlandrEdge 8 4 3" xfId="5278" xr:uid="{70DDD5C1-8CBA-4105-9413-01AC0A5523DC}"/>
    <cellStyle name="RISKtlandrEdge 8 4 4" xfId="8472" xr:uid="{A7AB45CF-6A14-4B17-8D3A-B1CD6DB875D6}"/>
    <cellStyle name="RISKtlandrEdge 8 5" xfId="2128" xr:uid="{00000000-0005-0000-0000-00002B070000}"/>
    <cellStyle name="RISKtlandrEdge 8 5 2" xfId="4218" xr:uid="{15FD766C-1840-43CD-9B32-D39BFD1B0E24}"/>
    <cellStyle name="RISKtlandrEdge 8 5 3" xfId="5516" xr:uid="{23ECFE10-F99F-44A0-9D63-6522838EB7C1}"/>
    <cellStyle name="RISKtlandrEdge 8 5 4" xfId="8708" xr:uid="{C70C1BF0-D258-45F2-BE6B-8FC9A80B9976}"/>
    <cellStyle name="RISKtlandrEdge 8 6" xfId="2370" xr:uid="{23E167FC-ACDD-4BF8-ABE5-F89311D374ED}"/>
    <cellStyle name="RISKtlandrEdge 8 6 2" xfId="5752" xr:uid="{2FD83160-8ECB-412C-959F-89D3BEAC81D5}"/>
    <cellStyle name="RISKtlandrEdge 8 6 3" xfId="8944" xr:uid="{07B615A4-0F97-4056-9F54-301C18076D1A}"/>
    <cellStyle name="RISKtlandrEdge 8 7" xfId="2606" xr:uid="{6B32C69C-DE88-4A93-BF4E-5E84587CA2A0}"/>
    <cellStyle name="RISKtlandrEdge 8 7 2" xfId="5982" xr:uid="{911676A0-E3B1-4442-BF63-9EBFA35634BA}"/>
    <cellStyle name="RISKtlandrEdge 8 7 3" xfId="9174" xr:uid="{D96D8F39-2902-4FD2-8577-3B6AE4F60CBF}"/>
    <cellStyle name="RISKtlandrEdge 8 8" xfId="2845" xr:uid="{C29EAC70-5212-464C-8D5C-3CFF9AF06DC3}"/>
    <cellStyle name="RISKtlandrEdge 8 8 2" xfId="6215" xr:uid="{FF866109-543E-4586-8824-079A9E56E90E}"/>
    <cellStyle name="RISKtlandrEdge 8 8 3" xfId="9404" xr:uid="{24554015-5041-4C65-8717-846CDD88C4E5}"/>
    <cellStyle name="RISKtlandrEdge 8 9" xfId="3050" xr:uid="{72F399D0-09EE-4947-BEAF-5A9260340B0C}"/>
    <cellStyle name="RISKtlandrEdge 8 9 2" xfId="6448" xr:uid="{69AEC875-583E-42C2-962B-04AD89D821A4}"/>
    <cellStyle name="RISKtlandrEdge 8 9 3" xfId="9634" xr:uid="{D2442F74-DECD-4231-ABEB-1028F4C9705B}"/>
    <cellStyle name="RISKtlandrEdge 9" xfId="1354" xr:uid="{00000000-0005-0000-0000-00002C070000}"/>
    <cellStyle name="RISKtlandrEdge 9 2" xfId="3465" xr:uid="{F40810CD-82BB-494A-90C1-12D58CACE251}"/>
    <cellStyle name="RISKtlandrEdge 9 3" xfId="4771" xr:uid="{7D5EA6F4-6F26-4AD5-B2A3-987429C24676}"/>
    <cellStyle name="RISKtlandrEdge 9 4" xfId="7981" xr:uid="{791092C3-47BA-42D6-B131-7A9E2B6D3089}"/>
    <cellStyle name="RISKtlCorner" xfId="1110" xr:uid="{00000000-0005-0000-0000-00002D070000}"/>
    <cellStyle name="RISKtlCorner 10" xfId="1618" xr:uid="{00000000-0005-0000-0000-00002E070000}"/>
    <cellStyle name="RISKtlCorner 10 2" xfId="3719" xr:uid="{6CACFFCF-A8A1-4E55-A1C2-4F93CB6D845A}"/>
    <cellStyle name="RISKtlCorner 10 3" xfId="5027" xr:uid="{FF70F237-1D17-4A37-9E5D-3E878E672F9F}"/>
    <cellStyle name="RISKtlCorner 10 4" xfId="8234" xr:uid="{885D9EF8-9750-40E2-B6D5-DDF4BAC7D8D0}"/>
    <cellStyle name="RISKtlCorner 11" xfId="1875" xr:uid="{00000000-0005-0000-0000-00002F070000}"/>
    <cellStyle name="RISKtlCorner 11 2" xfId="3975" xr:uid="{E2AFE1BC-9234-41C3-8E85-710F6E4FD0D9}"/>
    <cellStyle name="RISKtlCorner 11 3" xfId="5279" xr:uid="{0FA789A8-ABAC-4258-B3C9-03E83F47A6D8}"/>
    <cellStyle name="RISKtlCorner 11 4" xfId="8473" xr:uid="{74A82373-3827-44A7-8173-1A489D9D02B9}"/>
    <cellStyle name="RISKtlCorner 12" xfId="2129" xr:uid="{00000000-0005-0000-0000-000030070000}"/>
    <cellStyle name="RISKtlCorner 12 2" xfId="4219" xr:uid="{22ED39F7-111D-426F-B3C9-AD4F9C6BFAED}"/>
    <cellStyle name="RISKtlCorner 12 3" xfId="5517" xr:uid="{17EDC90F-35D1-41A8-B42C-A6E628D0D392}"/>
    <cellStyle name="RISKtlCorner 12 4" xfId="8709" xr:uid="{BC9BF54C-F717-45DC-9B9B-25272745689D}"/>
    <cellStyle name="RISKtlCorner 13" xfId="2371" xr:uid="{E482810B-30E8-4D11-B6ED-C3DBE8C5AF7C}"/>
    <cellStyle name="RISKtlCorner 13 2" xfId="5753" xr:uid="{E6DAC4A2-1389-4B5D-A588-138A14360285}"/>
    <cellStyle name="RISKtlCorner 13 3" xfId="8945" xr:uid="{19BD37B1-53E9-44D6-A9B1-6BF4896A5F65}"/>
    <cellStyle name="RISKtlCorner 14" xfId="2607" xr:uid="{5D6FFBC4-0F56-4E59-8ECC-D9C3C556D35C}"/>
    <cellStyle name="RISKtlCorner 14 2" xfId="5983" xr:uid="{EBA48E31-8A43-49DB-B040-59046D6C7482}"/>
    <cellStyle name="RISKtlCorner 14 3" xfId="9175" xr:uid="{DDF5C084-510A-43BB-B8B7-B4BD28EB2EC0}"/>
    <cellStyle name="RISKtlCorner 15" xfId="2846" xr:uid="{F413873C-3C2C-4FD4-BDF8-C1A0D895D26E}"/>
    <cellStyle name="RISKtlCorner 15 2" xfId="6216" xr:uid="{D8BB0F6A-F435-4044-A22B-2E628A9375B0}"/>
    <cellStyle name="RISKtlCorner 15 3" xfId="9405" xr:uid="{4AB89B83-7256-4A36-B927-897D1BE52B57}"/>
    <cellStyle name="RISKtlCorner 16" xfId="3051" xr:uid="{A4E68092-D29C-4694-BB6E-553CE787BC53}"/>
    <cellStyle name="RISKtlCorner 16 2" xfId="6449" xr:uid="{F7DD4EF9-8610-4BE8-A955-9462D22684D9}"/>
    <cellStyle name="RISKtlCorner 16 3" xfId="9635" xr:uid="{92CB78D7-6523-46A9-9F15-F0B3759EFD84}"/>
    <cellStyle name="RISKtlCorner 17" xfId="3293" xr:uid="{C7BF6AD9-85B0-4BDE-AEDD-0B4BE16B68C5}"/>
    <cellStyle name="RISKtlCorner 17 2" xfId="6712" xr:uid="{C05333C8-437A-48FB-84A7-F21662FBBDF2}"/>
    <cellStyle name="RISKtlCorner 17 3" xfId="9877" xr:uid="{1096CE46-2DE3-485D-90F7-678B04DC9E13}"/>
    <cellStyle name="RISKtlCorner 18" xfId="6974" xr:uid="{80B9F393-D44B-4B4C-8C1B-F2A8E12B073D}"/>
    <cellStyle name="RISKtlCorner 18 2" xfId="10119" xr:uid="{A930ECE5-C9FB-4482-BC0D-9CDC4942912C}"/>
    <cellStyle name="RISKtlCorner 19" xfId="7223" xr:uid="{E6B02472-DDB1-4BC3-9A28-E6A292209453}"/>
    <cellStyle name="RISKtlCorner 19 2" xfId="10362" xr:uid="{EFA4A7C3-2D52-4EB3-9DF6-456D7DC4D9A2}"/>
    <cellStyle name="RISKtlCorner 2" xfId="1111" xr:uid="{00000000-0005-0000-0000-000031070000}"/>
    <cellStyle name="RISKtlCorner 2 10" xfId="3052" xr:uid="{9C8149EB-E6B5-4BCD-87CB-32C22F7BA03C}"/>
    <cellStyle name="RISKtlCorner 2 10 2" xfId="6450" xr:uid="{E79EFE0F-C7B5-4F5A-A128-48963F821E30}"/>
    <cellStyle name="RISKtlCorner 2 10 3" xfId="9636" xr:uid="{2EFED79E-A107-45D6-949A-14A52CA0F7C9}"/>
    <cellStyle name="RISKtlCorner 2 11" xfId="3294" xr:uid="{EC70AE7E-5C0D-4375-B369-AA12D3C48E06}"/>
    <cellStyle name="RISKtlCorner 2 11 2" xfId="6713" xr:uid="{791250BA-3A58-4239-9DCA-31E42D5E93C5}"/>
    <cellStyle name="RISKtlCorner 2 11 3" xfId="9878" xr:uid="{329E1194-CA38-40D6-8E8F-9F89F6D100AA}"/>
    <cellStyle name="RISKtlCorner 2 12" xfId="6975" xr:uid="{40F2129B-6029-4A0F-82EB-BEE96FCFD956}"/>
    <cellStyle name="RISKtlCorner 2 12 2" xfId="10120" xr:uid="{981D1AD5-AD79-45B4-8E0A-4CDDDC65AD57}"/>
    <cellStyle name="RISKtlCorner 2 13" xfId="7224" xr:uid="{A8D7E745-3DE8-4A84-89D0-4670BDEEC070}"/>
    <cellStyle name="RISKtlCorner 2 13 2" xfId="10363" xr:uid="{C7E05B21-54EC-4457-B5FA-83DAED3AEC6B}"/>
    <cellStyle name="RISKtlCorner 2 14" xfId="7578" xr:uid="{6BCB4AA6-ACC0-417F-88D2-138ECEB89D91}"/>
    <cellStyle name="RISKtlCorner 2 14 2" xfId="10712" xr:uid="{6FE28468-736C-416A-B1B7-C944DE5A7737}"/>
    <cellStyle name="RISKtlCorner 2 15" xfId="7716" xr:uid="{F0E37D19-DE45-4709-B3E7-B6A87FFB8270}"/>
    <cellStyle name="RISKtlCorner 2 15 2" xfId="10849" xr:uid="{72D1FF5A-6818-41C1-846B-96466BD39B41}"/>
    <cellStyle name="RISKtlCorner 2 16" xfId="4600" xr:uid="{4DAD746C-95B1-4F29-BA32-1B319D108B28}"/>
    <cellStyle name="RISKtlCorner 2 17" xfId="7820" xr:uid="{485B620C-EE78-4D9B-89C4-A49EE6FDAD89}"/>
    <cellStyle name="RISKtlCorner 2 18" xfId="11102" xr:uid="{0EF624CE-1A42-4FC5-BE17-172313133372}"/>
    <cellStyle name="RISKtlCorner 2 19" xfId="11518" xr:uid="{54358908-A4C9-492A-BD97-92360A6C79D2}"/>
    <cellStyle name="RISKtlCorner 2 2" xfId="1112" xr:uid="{00000000-0005-0000-0000-000032070000}"/>
    <cellStyle name="RISKtlCorner 2 2 10" xfId="3295" xr:uid="{6A78FB27-B35E-43DB-AC96-647B5251BD91}"/>
    <cellStyle name="RISKtlCorner 2 2 10 2" xfId="6714" xr:uid="{8BAD530B-219D-4EFF-B4AA-CFB21EFCE340}"/>
    <cellStyle name="RISKtlCorner 2 2 10 3" xfId="9879" xr:uid="{5083EF30-7376-48D6-ACCA-D090901C53AB}"/>
    <cellStyle name="RISKtlCorner 2 2 11" xfId="6976" xr:uid="{8B9CE158-EADC-4299-996F-2FAB0D82C6A2}"/>
    <cellStyle name="RISKtlCorner 2 2 11 2" xfId="10121" xr:uid="{AA414795-C2FF-4560-8905-DF503292FE6E}"/>
    <cellStyle name="RISKtlCorner 2 2 12" xfId="7225" xr:uid="{93B95E0E-E534-44C4-BB6E-DB27A9D5B479}"/>
    <cellStyle name="RISKtlCorner 2 2 12 2" xfId="10364" xr:uid="{BDC69B82-2BE7-418F-B278-45AF2AB0FFDE}"/>
    <cellStyle name="RISKtlCorner 2 2 13" xfId="7579" xr:uid="{4D7AFF00-17A0-478D-B452-047D4B2AC594}"/>
    <cellStyle name="RISKtlCorner 2 2 13 2" xfId="10713" xr:uid="{689F32C3-BF5F-478D-963E-47E2662CA4A5}"/>
    <cellStyle name="RISKtlCorner 2 2 14" xfId="7717" xr:uid="{36E26411-FA19-4C32-9545-27D965CD3397}"/>
    <cellStyle name="RISKtlCorner 2 2 14 2" xfId="10850" xr:uid="{42EAF62F-AA68-444E-AA1B-D567CCEF3975}"/>
    <cellStyle name="RISKtlCorner 2 2 15" xfId="4601" xr:uid="{BE9EA504-B5DB-482E-A57F-D97FB83275CE}"/>
    <cellStyle name="RISKtlCorner 2 2 16" xfId="7821" xr:uid="{90BD1926-FF01-4F20-92E9-EC4CDE669AF2}"/>
    <cellStyle name="RISKtlCorner 2 2 17" xfId="11103" xr:uid="{FCE83278-EE83-4048-98AB-8A5B1F0DDF9A}"/>
    <cellStyle name="RISKtlCorner 2 2 18" xfId="11519" xr:uid="{359F73FE-4348-4E79-872A-C863941F99D9}"/>
    <cellStyle name="RISKtlCorner 2 2 19" xfId="11668" xr:uid="{6FF30BBD-0A93-47F2-8BFD-34C19E6E3F26}"/>
    <cellStyle name="RISKtlCorner 2 2 2" xfId="1371" xr:uid="{00000000-0005-0000-0000-000033070000}"/>
    <cellStyle name="RISKtlCorner 2 2 2 2" xfId="3482" xr:uid="{FE94153C-BB7A-4797-A834-4DD4E50A8F7B}"/>
    <cellStyle name="RISKtlCorner 2 2 2 3" xfId="4788" xr:uid="{BE916D21-4193-422C-8C02-F6B7D6673E8C}"/>
    <cellStyle name="RISKtlCorner 2 2 2 4" xfId="7998" xr:uid="{58D48131-0087-4B18-8CCF-9623ECD61919}"/>
    <cellStyle name="RISKtlCorner 2 2 20" xfId="11772" xr:uid="{11BBE84D-FB2C-4CF4-BA2B-61C0DE74EE29}"/>
    <cellStyle name="RISKtlCorner 2 2 21" xfId="11962" xr:uid="{437AB1D2-1ECF-43A7-A997-60A48004D415}"/>
    <cellStyle name="RISKtlCorner 2 2 22" xfId="12214" xr:uid="{5658A964-E783-4886-9BC0-12268D07DE71}"/>
    <cellStyle name="RISKtlCorner 2 2 23" xfId="12656" xr:uid="{4BC8AD6C-003E-422C-B2BC-69B7AA8CA6AB}"/>
    <cellStyle name="RISKtlCorner 2 2 24" xfId="12821" xr:uid="{6AECAF6B-C981-47C4-8F4C-9135C4F64D98}"/>
    <cellStyle name="RISKtlCorner 2 2 25" xfId="12962" xr:uid="{778DCF5C-47A0-44F5-90F1-685AE1DAD9BA}"/>
    <cellStyle name="RISKtlCorner 2 2 26" xfId="13324" xr:uid="{AD216122-4549-4B02-B0A7-4F799D549F4F}"/>
    <cellStyle name="RISKtlCorner 2 2 27" xfId="13453" xr:uid="{11F63007-3005-4634-B0AC-48D44134C97B}"/>
    <cellStyle name="RISKtlCorner 2 2 3" xfId="1620" xr:uid="{00000000-0005-0000-0000-000034070000}"/>
    <cellStyle name="RISKtlCorner 2 2 3 2" xfId="3721" xr:uid="{D6165BF0-3C1F-4DAB-AC78-6778E5332319}"/>
    <cellStyle name="RISKtlCorner 2 2 3 3" xfId="5029" xr:uid="{E2C2E48E-4E63-4D58-806E-C1371695844E}"/>
    <cellStyle name="RISKtlCorner 2 2 3 4" xfId="8236" xr:uid="{3D7F5EA2-15AD-40AF-8637-0550F3E9BD78}"/>
    <cellStyle name="RISKtlCorner 2 2 4" xfId="1877" xr:uid="{00000000-0005-0000-0000-000035070000}"/>
    <cellStyle name="RISKtlCorner 2 2 4 2" xfId="3977" xr:uid="{461677DE-95AB-4309-BEEA-46C36DC8F322}"/>
    <cellStyle name="RISKtlCorner 2 2 4 3" xfId="5281" xr:uid="{6BBCEB09-8C02-431E-9B62-D957978E0910}"/>
    <cellStyle name="RISKtlCorner 2 2 4 4" xfId="8475" xr:uid="{2AAE187B-F688-417B-9061-B4A4CC983499}"/>
    <cellStyle name="RISKtlCorner 2 2 5" xfId="2131" xr:uid="{00000000-0005-0000-0000-000036070000}"/>
    <cellStyle name="RISKtlCorner 2 2 5 2" xfId="4221" xr:uid="{7A1145A2-1850-48FC-88B9-C8E03C91FE53}"/>
    <cellStyle name="RISKtlCorner 2 2 5 3" xfId="5519" xr:uid="{529C028A-0769-48BC-A44F-96CCF721643E}"/>
    <cellStyle name="RISKtlCorner 2 2 5 4" xfId="8711" xr:uid="{3BFACF48-0001-493D-8128-B809B5EACE29}"/>
    <cellStyle name="RISKtlCorner 2 2 6" xfId="2373" xr:uid="{07A49703-F789-4339-B706-0BEF6462B60C}"/>
    <cellStyle name="RISKtlCorner 2 2 6 2" xfId="5755" xr:uid="{1BE09840-9A6C-43BB-9AFE-B4D0EF64E2C1}"/>
    <cellStyle name="RISKtlCorner 2 2 6 3" xfId="8947" xr:uid="{624DEFCF-4A33-4FD3-8202-030268589444}"/>
    <cellStyle name="RISKtlCorner 2 2 7" xfId="2609" xr:uid="{7FC67ED0-7B90-4BFC-AB3A-71938DED15ED}"/>
    <cellStyle name="RISKtlCorner 2 2 7 2" xfId="5985" xr:uid="{AE0B6297-C3ED-4E4D-8607-92228BEF5B26}"/>
    <cellStyle name="RISKtlCorner 2 2 7 3" xfId="9177" xr:uid="{2F5D9F5C-F742-4287-B350-A4D99D45768C}"/>
    <cellStyle name="RISKtlCorner 2 2 8" xfId="2848" xr:uid="{A9096A25-5CC7-43C1-9C26-EC7C5972636A}"/>
    <cellStyle name="RISKtlCorner 2 2 8 2" xfId="6218" xr:uid="{20662A2E-002E-435D-B745-ADFB294080AB}"/>
    <cellStyle name="RISKtlCorner 2 2 8 3" xfId="9407" xr:uid="{580525BD-5F95-4BB3-B4C6-7E898853C87E}"/>
    <cellStyle name="RISKtlCorner 2 2 9" xfId="3053" xr:uid="{3D65AD6E-8B7C-44D5-AD65-5919E969BE5B}"/>
    <cellStyle name="RISKtlCorner 2 2 9 2" xfId="6451" xr:uid="{B2730664-AD66-437D-94BF-4CE34480616C}"/>
    <cellStyle name="RISKtlCorner 2 2 9 3" xfId="9637" xr:uid="{8EBA2D94-2DDF-4B0D-9BBF-118149873A82}"/>
    <cellStyle name="RISKtlCorner 2 20" xfId="11667" xr:uid="{3DAB8BD0-28EF-42DA-9226-FEE56C2C8681}"/>
    <cellStyle name="RISKtlCorner 2 21" xfId="11771" xr:uid="{67BBB12E-F7EB-44F9-A0FD-89453D25191D}"/>
    <cellStyle name="RISKtlCorner 2 22" xfId="11961" xr:uid="{1A0540DD-C2B1-4664-889B-E751DD5388A4}"/>
    <cellStyle name="RISKtlCorner 2 23" xfId="12213" xr:uid="{94AF8627-8362-45E9-A0A8-C074B0E4B581}"/>
    <cellStyle name="RISKtlCorner 2 24" xfId="12655" xr:uid="{C18E03BF-D104-4D89-BD7A-287BC7022CD2}"/>
    <cellStyle name="RISKtlCorner 2 25" xfId="12820" xr:uid="{09D016C8-0525-40A3-8C68-D3719BEC5AE4}"/>
    <cellStyle name="RISKtlCorner 2 26" xfId="12961" xr:uid="{A4D23F08-0F63-419E-8D37-7D9A47C24EFA}"/>
    <cellStyle name="RISKtlCorner 2 27" xfId="13323" xr:uid="{1D8C150B-7453-499C-A294-0082FCEB7D6A}"/>
    <cellStyle name="RISKtlCorner 2 28" xfId="13452" xr:uid="{23F49735-F845-4200-B332-2ECA43A4E551}"/>
    <cellStyle name="RISKtlCorner 2 3" xfId="1370" xr:uid="{00000000-0005-0000-0000-000037070000}"/>
    <cellStyle name="RISKtlCorner 2 3 2" xfId="3481" xr:uid="{96EC6582-B748-469C-836A-B16F230162EA}"/>
    <cellStyle name="RISKtlCorner 2 3 3" xfId="4787" xr:uid="{323A7020-158C-4D25-A178-48A0D362FCFF}"/>
    <cellStyle name="RISKtlCorner 2 3 4" xfId="7997" xr:uid="{5B8712F3-710B-4E26-9032-9D63960313F2}"/>
    <cellStyle name="RISKtlCorner 2 4" xfId="1619" xr:uid="{00000000-0005-0000-0000-000038070000}"/>
    <cellStyle name="RISKtlCorner 2 4 2" xfId="3720" xr:uid="{466C7F73-A046-4C57-851D-CEAABACBA0E4}"/>
    <cellStyle name="RISKtlCorner 2 4 3" xfId="5028" xr:uid="{BB2C44B8-54B8-4F69-93DE-63A8160C4964}"/>
    <cellStyle name="RISKtlCorner 2 4 4" xfId="8235" xr:uid="{2786DF00-D941-4826-9571-FFB690A589B4}"/>
    <cellStyle name="RISKtlCorner 2 5" xfId="1876" xr:uid="{00000000-0005-0000-0000-000039070000}"/>
    <cellStyle name="RISKtlCorner 2 5 2" xfId="3976" xr:uid="{FFA3219C-5A21-48EC-B24F-27A0588A1EA3}"/>
    <cellStyle name="RISKtlCorner 2 5 3" xfId="5280" xr:uid="{993EE9DA-B17F-42AB-84E1-5860FF71FE26}"/>
    <cellStyle name="RISKtlCorner 2 5 4" xfId="8474" xr:uid="{0D9C90EB-2C22-4392-B5E4-2CB349C709B4}"/>
    <cellStyle name="RISKtlCorner 2 6" xfId="2130" xr:uid="{00000000-0005-0000-0000-00003A070000}"/>
    <cellStyle name="RISKtlCorner 2 6 2" xfId="4220" xr:uid="{B76162C5-991E-44E5-AE5A-F72159081D8E}"/>
    <cellStyle name="RISKtlCorner 2 6 3" xfId="5518" xr:uid="{E21A0599-3214-4AD7-B2E7-419A54A76184}"/>
    <cellStyle name="RISKtlCorner 2 6 4" xfId="8710" xr:uid="{D3020FFD-A584-45AC-8F8C-798FCDC19536}"/>
    <cellStyle name="RISKtlCorner 2 7" xfId="2372" xr:uid="{84FDCADB-2045-4457-9944-45ED5B0E3EC5}"/>
    <cellStyle name="RISKtlCorner 2 7 2" xfId="5754" xr:uid="{17567B62-631C-4FA4-8095-51DCDEA17E19}"/>
    <cellStyle name="RISKtlCorner 2 7 3" xfId="8946" xr:uid="{A6B1D191-95CC-4F85-A377-BF18939562F3}"/>
    <cellStyle name="RISKtlCorner 2 8" xfId="2608" xr:uid="{825763F5-AB20-4EB4-A2DD-3BAB388F47D2}"/>
    <cellStyle name="RISKtlCorner 2 8 2" xfId="5984" xr:uid="{42F887F6-6732-4AE9-8E11-1A5451D55902}"/>
    <cellStyle name="RISKtlCorner 2 8 3" xfId="9176" xr:uid="{3ABF0EAA-A922-4BFB-AA57-8F7D84775E00}"/>
    <cellStyle name="RISKtlCorner 2 9" xfId="2847" xr:uid="{5FC7DA18-1D9D-4B36-AAEF-91AA95344819}"/>
    <cellStyle name="RISKtlCorner 2 9 2" xfId="6217" xr:uid="{B79D432F-3A97-428D-BC22-803CF0AC5D80}"/>
    <cellStyle name="RISKtlCorner 2 9 3" xfId="9406" xr:uid="{CCEBCE7F-1E07-4BA2-9103-6400B19C1508}"/>
    <cellStyle name="RISKtlCorner 20" xfId="7577" xr:uid="{EAD56910-AF7C-4B1C-B8BA-5A95A6AB4C07}"/>
    <cellStyle name="RISKtlCorner 20 2" xfId="10711" xr:uid="{324239F5-E377-4946-801D-92B4D9FCD757}"/>
    <cellStyle name="RISKtlCorner 21" xfId="7715" xr:uid="{9AFE01A3-9E79-42C2-8216-87D3BC7B7C1C}"/>
    <cellStyle name="RISKtlCorner 21 2" xfId="10848" xr:uid="{63BBD308-F81F-4D2F-A201-68B1D78582BE}"/>
    <cellStyle name="RISKtlCorner 22" xfId="4599" xr:uid="{2DE33C74-1DFC-4253-99F0-BBFEEE4A8285}"/>
    <cellStyle name="RISKtlCorner 23" xfId="7819" xr:uid="{A7756EA5-8F2C-4359-BA79-737E1DB46BB1}"/>
    <cellStyle name="RISKtlCorner 24" xfId="11101" xr:uid="{2ED44111-9924-412F-ABCD-2586AAB1683B}"/>
    <cellStyle name="RISKtlCorner 25" xfId="11517" xr:uid="{90795908-CCDE-4EB1-B650-F51311345A96}"/>
    <cellStyle name="RISKtlCorner 26" xfId="11666" xr:uid="{2F26E857-F123-4D57-BA48-A070480F39A4}"/>
    <cellStyle name="RISKtlCorner 27" xfId="11770" xr:uid="{7B63BF5E-3C17-4D5E-88D0-2AE9D0D083C0}"/>
    <cellStyle name="RISKtlCorner 28" xfId="11960" xr:uid="{5AE55ADA-C9CB-4DE2-A58E-B73659F4D0DD}"/>
    <cellStyle name="RISKtlCorner 29" xfId="12212" xr:uid="{66C2F125-0A05-42FF-9C76-43E1796ED169}"/>
    <cellStyle name="RISKtlCorner 3" xfId="1113" xr:uid="{00000000-0005-0000-0000-00003B070000}"/>
    <cellStyle name="RISKtlCorner 3 10" xfId="3054" xr:uid="{B9005619-0C1F-403B-9739-CDA2F1DBAAAD}"/>
    <cellStyle name="RISKtlCorner 3 10 2" xfId="6452" xr:uid="{9238CE91-1F31-4B54-8DDC-88F927003A83}"/>
    <cellStyle name="RISKtlCorner 3 10 3" xfId="9638" xr:uid="{662483A5-4B2E-49A6-9FA4-74EF7ECE56B2}"/>
    <cellStyle name="RISKtlCorner 3 11" xfId="3296" xr:uid="{8731C271-308D-43A2-AC1F-0B00D5DF7771}"/>
    <cellStyle name="RISKtlCorner 3 11 2" xfId="6715" xr:uid="{827C453F-E07C-4CE4-B3B9-588E497BCA7F}"/>
    <cellStyle name="RISKtlCorner 3 11 3" xfId="9880" xr:uid="{70242AF9-6FC1-43E7-B240-9CDEC5BF9AB5}"/>
    <cellStyle name="RISKtlCorner 3 12" xfId="6977" xr:uid="{42CE7E94-022A-461C-BB8B-AD064858379B}"/>
    <cellStyle name="RISKtlCorner 3 12 2" xfId="10122" xr:uid="{CC73CE16-243A-4DA6-9DBA-20B0F9496451}"/>
    <cellStyle name="RISKtlCorner 3 13" xfId="7226" xr:uid="{86A9E231-BBD2-4BC8-B7D7-ED0BFBE54421}"/>
    <cellStyle name="RISKtlCorner 3 13 2" xfId="10365" xr:uid="{0896FD18-66F6-4CF6-A95E-4F993A1208DE}"/>
    <cellStyle name="RISKtlCorner 3 14" xfId="7580" xr:uid="{57119042-ED73-4B6E-B7BB-469CB0B582F8}"/>
    <cellStyle name="RISKtlCorner 3 14 2" xfId="10714" xr:uid="{B0E68379-BD2D-43BA-9755-0DF26D965295}"/>
    <cellStyle name="RISKtlCorner 3 15" xfId="7718" xr:uid="{F98FE8A4-2AFB-4BF3-94F9-890EA3F4B3D8}"/>
    <cellStyle name="RISKtlCorner 3 15 2" xfId="10851" xr:uid="{550E0B78-DB8C-4E1F-8BBE-91C5A385B1D6}"/>
    <cellStyle name="RISKtlCorner 3 16" xfId="4602" xr:uid="{1CCD8698-567A-4585-893C-C8432F945BD1}"/>
    <cellStyle name="RISKtlCorner 3 17" xfId="7822" xr:uid="{38369571-7E69-4013-9DDB-B7006E8B9148}"/>
    <cellStyle name="RISKtlCorner 3 18" xfId="11104" xr:uid="{000505CF-F4DB-4C91-88D9-EF228049CD83}"/>
    <cellStyle name="RISKtlCorner 3 19" xfId="11520" xr:uid="{2880E522-AD41-4FEA-974E-6975AACBB7C3}"/>
    <cellStyle name="RISKtlCorner 3 2" xfId="1114" xr:uid="{00000000-0005-0000-0000-00003C070000}"/>
    <cellStyle name="RISKtlCorner 3 2 10" xfId="3297" xr:uid="{7A4FA93B-AC12-4DC6-AFE5-5FD5C8E14FBF}"/>
    <cellStyle name="RISKtlCorner 3 2 10 2" xfId="6716" xr:uid="{27565058-7522-4B80-9914-FD8159E6238A}"/>
    <cellStyle name="RISKtlCorner 3 2 10 3" xfId="9881" xr:uid="{10899F04-074A-47DA-B895-A7C83F07D658}"/>
    <cellStyle name="RISKtlCorner 3 2 11" xfId="6978" xr:uid="{F57076DD-36EC-49E1-92EB-209244DADC05}"/>
    <cellStyle name="RISKtlCorner 3 2 11 2" xfId="10123" xr:uid="{44B47131-AE5B-4DA0-9345-FA323208666F}"/>
    <cellStyle name="RISKtlCorner 3 2 12" xfId="7227" xr:uid="{5BBA8797-F8DA-49BB-81B3-A60FAC06250B}"/>
    <cellStyle name="RISKtlCorner 3 2 12 2" xfId="10366" xr:uid="{418F10C8-EDDE-44BA-A976-B3404A50B9D2}"/>
    <cellStyle name="RISKtlCorner 3 2 13" xfId="7581" xr:uid="{589B8A34-DE61-40C4-B378-C2CAA497281F}"/>
    <cellStyle name="RISKtlCorner 3 2 13 2" xfId="10715" xr:uid="{ED8E19A5-A3BB-44DF-BECE-B165E7BDDDB5}"/>
    <cellStyle name="RISKtlCorner 3 2 14" xfId="7719" xr:uid="{6D195A3F-4A71-497E-8D0B-C4E5E97FE039}"/>
    <cellStyle name="RISKtlCorner 3 2 14 2" xfId="10852" xr:uid="{7B26E5E3-32D6-4F87-8174-BA84D0B8A4EE}"/>
    <cellStyle name="RISKtlCorner 3 2 15" xfId="4603" xr:uid="{70D7C52C-8039-4E3A-AD92-8FCC4D92568F}"/>
    <cellStyle name="RISKtlCorner 3 2 16" xfId="7823" xr:uid="{1302F5EC-4DE3-4CFF-AFF8-F412D21C3D93}"/>
    <cellStyle name="RISKtlCorner 3 2 17" xfId="11105" xr:uid="{31201805-9719-4684-A6FE-38D993465273}"/>
    <cellStyle name="RISKtlCorner 3 2 18" xfId="11521" xr:uid="{91AB375C-2657-4B1D-9DC6-0A34A2230AB2}"/>
    <cellStyle name="RISKtlCorner 3 2 19" xfId="11670" xr:uid="{94A7725C-F641-4569-B098-C9F2855902BA}"/>
    <cellStyle name="RISKtlCorner 3 2 2" xfId="1373" xr:uid="{00000000-0005-0000-0000-00003D070000}"/>
    <cellStyle name="RISKtlCorner 3 2 2 2" xfId="3484" xr:uid="{D080D2C7-6011-4CDC-803D-CFAF01DCC5D8}"/>
    <cellStyle name="RISKtlCorner 3 2 2 3" xfId="4790" xr:uid="{B7706DB0-9E83-4B8A-9A77-169C7948A796}"/>
    <cellStyle name="RISKtlCorner 3 2 2 4" xfId="8000" xr:uid="{E11B54E9-035F-4491-A5EF-0BBA3FE778A4}"/>
    <cellStyle name="RISKtlCorner 3 2 20" xfId="11774" xr:uid="{0B4963C9-FD97-4A0C-B285-16A835BDFA8C}"/>
    <cellStyle name="RISKtlCorner 3 2 21" xfId="11964" xr:uid="{92EEDD4D-5D82-41DB-AEB0-A00E4681B9D7}"/>
    <cellStyle name="RISKtlCorner 3 2 22" xfId="12216" xr:uid="{D31E8376-6C81-4F83-9CB3-E8751800D735}"/>
    <cellStyle name="RISKtlCorner 3 2 23" xfId="12658" xr:uid="{6F9A7C69-33B8-45C4-AE84-29C43B2530F8}"/>
    <cellStyle name="RISKtlCorner 3 2 24" xfId="12823" xr:uid="{EC17DADC-A1AD-4429-8932-4B00E8AB6433}"/>
    <cellStyle name="RISKtlCorner 3 2 25" xfId="12964" xr:uid="{03D9B4A5-11FC-45DC-8AAE-00CFCAAB63BA}"/>
    <cellStyle name="RISKtlCorner 3 2 26" xfId="13326" xr:uid="{20454C7F-2CC7-45A1-AD5E-D7BF4F1018AF}"/>
    <cellStyle name="RISKtlCorner 3 2 27" xfId="13455" xr:uid="{39FE0D77-0315-4A96-8651-649B14A35D0A}"/>
    <cellStyle name="RISKtlCorner 3 2 3" xfId="1622" xr:uid="{00000000-0005-0000-0000-00003E070000}"/>
    <cellStyle name="RISKtlCorner 3 2 3 2" xfId="3723" xr:uid="{8F1F8E2C-3E3F-4A08-8ABC-A4FBA85BCE9E}"/>
    <cellStyle name="RISKtlCorner 3 2 3 3" xfId="5031" xr:uid="{CE15127E-DE96-4641-9312-53ACCF07607D}"/>
    <cellStyle name="RISKtlCorner 3 2 3 4" xfId="8238" xr:uid="{462C1439-8BCC-4341-A94B-62B6D9FE18F0}"/>
    <cellStyle name="RISKtlCorner 3 2 4" xfId="1879" xr:uid="{00000000-0005-0000-0000-00003F070000}"/>
    <cellStyle name="RISKtlCorner 3 2 4 2" xfId="3979" xr:uid="{5CA7F964-5C2A-494A-B5E7-5CC4DB250E63}"/>
    <cellStyle name="RISKtlCorner 3 2 4 3" xfId="5283" xr:uid="{74228B25-C092-4EE9-8D67-D21E8D1C6C5F}"/>
    <cellStyle name="RISKtlCorner 3 2 4 4" xfId="8477" xr:uid="{956277EE-A0FE-4121-B866-FCBD64BA22E8}"/>
    <cellStyle name="RISKtlCorner 3 2 5" xfId="2133" xr:uid="{00000000-0005-0000-0000-000040070000}"/>
    <cellStyle name="RISKtlCorner 3 2 5 2" xfId="4223" xr:uid="{F628DD8E-96BA-43C7-B2F9-ADE93AE0AE5A}"/>
    <cellStyle name="RISKtlCorner 3 2 5 3" xfId="5521" xr:uid="{78A9469E-C59A-44B4-B085-E9416A93DE20}"/>
    <cellStyle name="RISKtlCorner 3 2 5 4" xfId="8713" xr:uid="{BB56C136-258D-4817-AF41-5217C16B5827}"/>
    <cellStyle name="RISKtlCorner 3 2 6" xfId="2375" xr:uid="{C1C82C6D-D869-43C8-92E9-57814F1D1D63}"/>
    <cellStyle name="RISKtlCorner 3 2 6 2" xfId="5757" xr:uid="{594D0294-A9D3-47C9-935F-38F0F666CBA3}"/>
    <cellStyle name="RISKtlCorner 3 2 6 3" xfId="8949" xr:uid="{8FEE7798-7F41-4AF1-9B12-2EA354DAF633}"/>
    <cellStyle name="RISKtlCorner 3 2 7" xfId="2611" xr:uid="{B235421A-53DF-46AE-AEF8-B655B3F1EA85}"/>
    <cellStyle name="RISKtlCorner 3 2 7 2" xfId="5987" xr:uid="{2277CCFF-44C4-4B49-96D3-36522AC2E78E}"/>
    <cellStyle name="RISKtlCorner 3 2 7 3" xfId="9179" xr:uid="{FFEDCB8F-ED63-4FD4-92DC-06928A831B8A}"/>
    <cellStyle name="RISKtlCorner 3 2 8" xfId="2850" xr:uid="{C52F726B-172B-4FEE-90C7-33E61DCDAEA9}"/>
    <cellStyle name="RISKtlCorner 3 2 8 2" xfId="6220" xr:uid="{474443E6-014F-4429-87BB-4E150383BA00}"/>
    <cellStyle name="RISKtlCorner 3 2 8 3" xfId="9409" xr:uid="{D7C7EAC4-73A5-4041-8279-3E879A47D37C}"/>
    <cellStyle name="RISKtlCorner 3 2 9" xfId="3055" xr:uid="{74800B1F-377C-4B61-B25F-CA79D2F65C21}"/>
    <cellStyle name="RISKtlCorner 3 2 9 2" xfId="6453" xr:uid="{5AD144A5-64C1-4F24-8C50-0FFAB8ABC644}"/>
    <cellStyle name="RISKtlCorner 3 2 9 3" xfId="9639" xr:uid="{EB3B8660-E9C3-4021-A3A7-FEA0CB4A996E}"/>
    <cellStyle name="RISKtlCorner 3 20" xfId="11669" xr:uid="{3E49DDE3-2736-4C2E-8972-0ABB73E6B76A}"/>
    <cellStyle name="RISKtlCorner 3 21" xfId="11773" xr:uid="{CE74BE0F-773B-4499-9C43-F0A8DB54A6EB}"/>
    <cellStyle name="RISKtlCorner 3 22" xfId="11963" xr:uid="{28750F6B-529C-4A7E-88F8-7801A7718868}"/>
    <cellStyle name="RISKtlCorner 3 23" xfId="12215" xr:uid="{F22B8ECE-20D5-425B-BEB5-04C2FD3F33C3}"/>
    <cellStyle name="RISKtlCorner 3 24" xfId="12657" xr:uid="{B74978E4-B706-4EFA-AF31-1D3C09CD04B3}"/>
    <cellStyle name="RISKtlCorner 3 25" xfId="12822" xr:uid="{73D6D0F7-6169-4E09-B3CC-0513FA429A70}"/>
    <cellStyle name="RISKtlCorner 3 26" xfId="12963" xr:uid="{7565E2DD-C127-4675-A314-C1EE76BE2CC8}"/>
    <cellStyle name="RISKtlCorner 3 27" xfId="13325" xr:uid="{46200EA3-8888-4C8F-8C7D-B657CA4CE81C}"/>
    <cellStyle name="RISKtlCorner 3 28" xfId="13454" xr:uid="{1D66526F-C34C-4921-9996-DE60C12F0F31}"/>
    <cellStyle name="RISKtlCorner 3 3" xfId="1372" xr:uid="{00000000-0005-0000-0000-000041070000}"/>
    <cellStyle name="RISKtlCorner 3 3 2" xfId="3483" xr:uid="{7FDF21E5-31AD-4021-9F41-D1EB1844766A}"/>
    <cellStyle name="RISKtlCorner 3 3 3" xfId="4789" xr:uid="{E26270A7-8259-476F-9F65-A10B61E5ABBA}"/>
    <cellStyle name="RISKtlCorner 3 3 4" xfId="7999" xr:uid="{8C9FC0CD-E3CE-4524-AA1C-14A47890A48E}"/>
    <cellStyle name="RISKtlCorner 3 4" xfId="1621" xr:uid="{00000000-0005-0000-0000-000042070000}"/>
    <cellStyle name="RISKtlCorner 3 4 2" xfId="3722" xr:uid="{B242DFDD-6C9F-4CEF-9EC2-FD62085DFC92}"/>
    <cellStyle name="RISKtlCorner 3 4 3" xfId="5030" xr:uid="{16D4DA09-ED37-4EDD-BA52-5E2B67869AF3}"/>
    <cellStyle name="RISKtlCorner 3 4 4" xfId="8237" xr:uid="{33B29FC7-235B-46E5-A270-44FC1C58CAE6}"/>
    <cellStyle name="RISKtlCorner 3 5" xfId="1878" xr:uid="{00000000-0005-0000-0000-000043070000}"/>
    <cellStyle name="RISKtlCorner 3 5 2" xfId="3978" xr:uid="{4A2F20FE-A9B3-49C5-86C5-603DB1A7064A}"/>
    <cellStyle name="RISKtlCorner 3 5 3" xfId="5282" xr:uid="{9EA8F6B8-2A76-4D2E-A82B-8A1E383DD2A3}"/>
    <cellStyle name="RISKtlCorner 3 5 4" xfId="8476" xr:uid="{9809C6E7-3E62-4163-A02C-9611E628CF96}"/>
    <cellStyle name="RISKtlCorner 3 6" xfId="2132" xr:uid="{00000000-0005-0000-0000-000044070000}"/>
    <cellStyle name="RISKtlCorner 3 6 2" xfId="4222" xr:uid="{E14F8AF6-51C5-4F56-9AE4-7700175492B0}"/>
    <cellStyle name="RISKtlCorner 3 6 3" xfId="5520" xr:uid="{25F7DF6A-0A0C-4817-B431-A28349D90F07}"/>
    <cellStyle name="RISKtlCorner 3 6 4" xfId="8712" xr:uid="{E8F40864-7DAB-4801-B78B-AFBD27A18D14}"/>
    <cellStyle name="RISKtlCorner 3 7" xfId="2374" xr:uid="{3FFD781D-24E1-4F09-9ED6-5EF9E66C83CE}"/>
    <cellStyle name="RISKtlCorner 3 7 2" xfId="5756" xr:uid="{50CDBA09-B44F-43B1-9AC5-1234D9C207DD}"/>
    <cellStyle name="RISKtlCorner 3 7 3" xfId="8948" xr:uid="{6D13D969-93AA-44B1-903F-CD138B2D87B8}"/>
    <cellStyle name="RISKtlCorner 3 8" xfId="2610" xr:uid="{BD49C44B-33F4-41F9-9FA8-0169AFD16E51}"/>
    <cellStyle name="RISKtlCorner 3 8 2" xfId="5986" xr:uid="{FFCC3EBB-A8D2-46B0-910D-EA3F3BFBCDB9}"/>
    <cellStyle name="RISKtlCorner 3 8 3" xfId="9178" xr:uid="{EFB08636-0AB0-48F4-BA14-F6EDACDEB08A}"/>
    <cellStyle name="RISKtlCorner 3 9" xfId="2849" xr:uid="{3E7BD9D4-5B2A-4930-AFDB-6BC098843AC1}"/>
    <cellStyle name="RISKtlCorner 3 9 2" xfId="6219" xr:uid="{97EEB568-CA83-4FC4-BBFE-FEEE7535655A}"/>
    <cellStyle name="RISKtlCorner 3 9 3" xfId="9408" xr:uid="{1F84E789-D4E4-4BE3-94ED-B8099EF4B305}"/>
    <cellStyle name="RISKtlCorner 30" xfId="12654" xr:uid="{F5C5B8C6-A035-459E-AAD2-B3D2229B434A}"/>
    <cellStyle name="RISKtlCorner 31" xfId="12819" xr:uid="{3E8CA4A6-35D7-4830-811B-C4835B25B743}"/>
    <cellStyle name="RISKtlCorner 32" xfId="12960" xr:uid="{8581D693-C554-410C-8016-67804868A1E3}"/>
    <cellStyle name="RISKtlCorner 33" xfId="13322" xr:uid="{23734B23-824A-4018-9621-43D171473B5B}"/>
    <cellStyle name="RISKtlCorner 34" xfId="13451" xr:uid="{412DC921-F2A3-46C7-B4A2-FFDE3DD53889}"/>
    <cellStyle name="RISKtlCorner 4" xfId="1115" xr:uid="{00000000-0005-0000-0000-000045070000}"/>
    <cellStyle name="RISKtlCorner 4 10" xfId="3056" xr:uid="{FB4AFDD3-AC19-4D76-9DBC-E040175F3D62}"/>
    <cellStyle name="RISKtlCorner 4 10 2" xfId="6454" xr:uid="{EB1516AE-C7BE-46DC-B41B-F2AC68CF6D33}"/>
    <cellStyle name="RISKtlCorner 4 10 3" xfId="9640" xr:uid="{87DFC8DF-F95F-482E-9B3F-B2FD9E2F0501}"/>
    <cellStyle name="RISKtlCorner 4 11" xfId="3298" xr:uid="{51BA3EB3-661B-4DE0-8DA4-35D5A0D2635C}"/>
    <cellStyle name="RISKtlCorner 4 11 2" xfId="6717" xr:uid="{148A885D-9DCA-4466-BB59-78A89AD14AD8}"/>
    <cellStyle name="RISKtlCorner 4 11 3" xfId="9882" xr:uid="{7AA9EE83-1677-4F1D-9832-0E51A83F2C35}"/>
    <cellStyle name="RISKtlCorner 4 12" xfId="6979" xr:uid="{6FDE5053-D5ED-4E8D-8913-A76C04BCDDF9}"/>
    <cellStyle name="RISKtlCorner 4 12 2" xfId="10124" xr:uid="{47642ED8-2007-43A9-9203-8566078142EC}"/>
    <cellStyle name="RISKtlCorner 4 13" xfId="7228" xr:uid="{6D2DD9B3-AB17-4831-B7B2-ABEF1C0CD53E}"/>
    <cellStyle name="RISKtlCorner 4 13 2" xfId="10367" xr:uid="{9DAD4613-630A-4AB6-B3B3-C044C3D907B2}"/>
    <cellStyle name="RISKtlCorner 4 14" xfId="7582" xr:uid="{05086B7D-FEE3-4B28-B12A-332A095C4582}"/>
    <cellStyle name="RISKtlCorner 4 14 2" xfId="10716" xr:uid="{6B39DFBA-2266-4A96-A79F-39FEFB21403D}"/>
    <cellStyle name="RISKtlCorner 4 15" xfId="7720" xr:uid="{ACE2087F-E95F-4B09-9897-7A71F72A33FD}"/>
    <cellStyle name="RISKtlCorner 4 15 2" xfId="10853" xr:uid="{983A0B0D-A8C6-410A-BB79-B6EF93C489AE}"/>
    <cellStyle name="RISKtlCorner 4 16" xfId="4604" xr:uid="{C191C05F-E0D4-4F29-AD77-4ACD7DF0551F}"/>
    <cellStyle name="RISKtlCorner 4 17" xfId="7824" xr:uid="{920D19CB-D819-456C-A546-C3E9D636FA37}"/>
    <cellStyle name="RISKtlCorner 4 18" xfId="11106" xr:uid="{2EB43C51-5151-44DA-A59B-E3BC899F885E}"/>
    <cellStyle name="RISKtlCorner 4 19" xfId="11522" xr:uid="{02E76F85-E974-443A-BB4D-FE74D81FF5A2}"/>
    <cellStyle name="RISKtlCorner 4 2" xfId="1116" xr:uid="{00000000-0005-0000-0000-000046070000}"/>
    <cellStyle name="RISKtlCorner 4 2 10" xfId="3299" xr:uid="{A3F57124-236E-4D73-AF9E-21067C1540C0}"/>
    <cellStyle name="RISKtlCorner 4 2 10 2" xfId="6718" xr:uid="{DD9E0F29-9329-4BB1-95E7-705DB4A1DE02}"/>
    <cellStyle name="RISKtlCorner 4 2 10 3" xfId="9883" xr:uid="{BDD1DC10-3EF8-4796-B1B9-BD2BF31E5B77}"/>
    <cellStyle name="RISKtlCorner 4 2 11" xfId="6980" xr:uid="{E1FCA1E7-E67F-4916-BFE8-67A84D850874}"/>
    <cellStyle name="RISKtlCorner 4 2 11 2" xfId="10125" xr:uid="{956C6C38-750B-4EDD-8E19-5019804E6CB0}"/>
    <cellStyle name="RISKtlCorner 4 2 12" xfId="7229" xr:uid="{40B6B408-E4F1-412F-8AF0-3407B3A94872}"/>
    <cellStyle name="RISKtlCorner 4 2 12 2" xfId="10368" xr:uid="{D46A2A0B-2029-40D0-9103-9350DE0F2811}"/>
    <cellStyle name="RISKtlCorner 4 2 13" xfId="7583" xr:uid="{A292DDA8-69C1-4004-ADB9-46AD735CD3DB}"/>
    <cellStyle name="RISKtlCorner 4 2 13 2" xfId="10717" xr:uid="{D6372C71-9534-4E7B-8EA1-29F161F6FBB6}"/>
    <cellStyle name="RISKtlCorner 4 2 14" xfId="7721" xr:uid="{BCD79EB3-04F3-4B9B-9CA5-4D5B9853F82B}"/>
    <cellStyle name="RISKtlCorner 4 2 14 2" xfId="10854" xr:uid="{AB612365-8722-43DB-9F27-E5B4555889EF}"/>
    <cellStyle name="RISKtlCorner 4 2 15" xfId="4605" xr:uid="{AD83C12E-3A2E-49DE-B851-1FB506D6BC67}"/>
    <cellStyle name="RISKtlCorner 4 2 16" xfId="7825" xr:uid="{A4784D48-32CA-436D-8FD8-B34F74D76625}"/>
    <cellStyle name="RISKtlCorner 4 2 17" xfId="11107" xr:uid="{1848D4A5-D5B6-4782-A0D0-1E5633A7F055}"/>
    <cellStyle name="RISKtlCorner 4 2 18" xfId="11523" xr:uid="{0C54847F-D868-4825-88BB-0521D535B2A5}"/>
    <cellStyle name="RISKtlCorner 4 2 19" xfId="11672" xr:uid="{9BFCF8CB-0C0F-4E23-B4A2-8FB516305200}"/>
    <cellStyle name="RISKtlCorner 4 2 2" xfId="1375" xr:uid="{00000000-0005-0000-0000-000047070000}"/>
    <cellStyle name="RISKtlCorner 4 2 2 2" xfId="3486" xr:uid="{5EA85603-F82C-4D86-90AD-C4E39305D6A3}"/>
    <cellStyle name="RISKtlCorner 4 2 2 3" xfId="4792" xr:uid="{4345178D-4ED4-4B27-9D4F-8E356E407B59}"/>
    <cellStyle name="RISKtlCorner 4 2 2 4" xfId="8002" xr:uid="{31177787-9D59-4940-B356-9858D398FE62}"/>
    <cellStyle name="RISKtlCorner 4 2 20" xfId="11776" xr:uid="{F73A8F39-B853-4523-AEA7-2755A75B2BE0}"/>
    <cellStyle name="RISKtlCorner 4 2 21" xfId="11966" xr:uid="{4B2A8E07-C8F1-41E5-954D-2BE351F35504}"/>
    <cellStyle name="RISKtlCorner 4 2 22" xfId="12218" xr:uid="{5ABED30D-C450-4977-AB8D-99F3BB7D8FC2}"/>
    <cellStyle name="RISKtlCorner 4 2 23" xfId="12660" xr:uid="{FDA5279D-DAC8-4EFC-BB36-F66C782F3C20}"/>
    <cellStyle name="RISKtlCorner 4 2 24" xfId="12825" xr:uid="{4E90C2A7-1469-453B-A60D-F6DA0C0AECF8}"/>
    <cellStyle name="RISKtlCorner 4 2 25" xfId="12966" xr:uid="{DB24B7E2-1BB4-4308-80A7-5FF98A4590F7}"/>
    <cellStyle name="RISKtlCorner 4 2 26" xfId="13328" xr:uid="{57F7B4E4-899A-4B96-AAB3-0E0C0FB86A4D}"/>
    <cellStyle name="RISKtlCorner 4 2 27" xfId="13457" xr:uid="{1864CD6B-6CA3-45F8-8E1E-7F94A6A28C83}"/>
    <cellStyle name="RISKtlCorner 4 2 3" xfId="1624" xr:uid="{00000000-0005-0000-0000-000048070000}"/>
    <cellStyle name="RISKtlCorner 4 2 3 2" xfId="3725" xr:uid="{B17D5EA1-698F-40B1-8154-10D5668F6A46}"/>
    <cellStyle name="RISKtlCorner 4 2 3 3" xfId="5033" xr:uid="{BB5C8C81-3193-4FD2-B0A3-DCE662F4C8D5}"/>
    <cellStyle name="RISKtlCorner 4 2 3 4" xfId="8240" xr:uid="{05FC1C5C-E5C4-4304-87A3-0949F1478910}"/>
    <cellStyle name="RISKtlCorner 4 2 4" xfId="1881" xr:uid="{00000000-0005-0000-0000-000049070000}"/>
    <cellStyle name="RISKtlCorner 4 2 4 2" xfId="3981" xr:uid="{92A0867E-0F86-4EC4-BD75-C0FA0FB3AF93}"/>
    <cellStyle name="RISKtlCorner 4 2 4 3" xfId="5285" xr:uid="{6848CABA-7678-433A-B350-7489F4CD1A92}"/>
    <cellStyle name="RISKtlCorner 4 2 4 4" xfId="8479" xr:uid="{5F235D6C-67AC-4163-8905-9F967140CA82}"/>
    <cellStyle name="RISKtlCorner 4 2 5" xfId="2135" xr:uid="{00000000-0005-0000-0000-00004A070000}"/>
    <cellStyle name="RISKtlCorner 4 2 5 2" xfId="4225" xr:uid="{3F08496F-5661-4837-8A6F-7E53CA6484DC}"/>
    <cellStyle name="RISKtlCorner 4 2 5 3" xfId="5523" xr:uid="{1BE6C824-7135-46E5-BA17-624943725BF6}"/>
    <cellStyle name="RISKtlCorner 4 2 5 4" xfId="8715" xr:uid="{54347489-A922-404F-AE33-B5258045D385}"/>
    <cellStyle name="RISKtlCorner 4 2 6" xfId="2377" xr:uid="{647DA8F9-CA12-4667-B161-8113C4C382CE}"/>
    <cellStyle name="RISKtlCorner 4 2 6 2" xfId="5759" xr:uid="{BCF5F9F8-1EE3-4F74-971F-809DF8D2416E}"/>
    <cellStyle name="RISKtlCorner 4 2 6 3" xfId="8951" xr:uid="{9ED3F862-AE79-402B-A672-CA1E5819D45F}"/>
    <cellStyle name="RISKtlCorner 4 2 7" xfId="2613" xr:uid="{50E2C09C-51BC-4CBC-9D52-1AFFDE013F7C}"/>
    <cellStyle name="RISKtlCorner 4 2 7 2" xfId="5989" xr:uid="{432459C6-34A9-40C2-882D-031A0F68D7AC}"/>
    <cellStyle name="RISKtlCorner 4 2 7 3" xfId="9181" xr:uid="{8EA964E8-33EE-47BD-B545-FAFF50DB5900}"/>
    <cellStyle name="RISKtlCorner 4 2 8" xfId="2852" xr:uid="{5FF8606E-6B25-472E-9B45-2026A2696117}"/>
    <cellStyle name="RISKtlCorner 4 2 8 2" xfId="6222" xr:uid="{86D8710D-4F53-487E-BD4E-DA7185DA2EAA}"/>
    <cellStyle name="RISKtlCorner 4 2 8 3" xfId="9411" xr:uid="{E8DDAA7F-C8C8-46CF-B826-5CF87A76ED76}"/>
    <cellStyle name="RISKtlCorner 4 2 9" xfId="3057" xr:uid="{796B2163-C4B7-419E-AAD3-638468FD1E18}"/>
    <cellStyle name="RISKtlCorner 4 2 9 2" xfId="6455" xr:uid="{EAAC8297-6294-441F-944C-CB44315C7633}"/>
    <cellStyle name="RISKtlCorner 4 2 9 3" xfId="9641" xr:uid="{B2041C56-961E-4474-935B-6D85269F2B50}"/>
    <cellStyle name="RISKtlCorner 4 20" xfId="11671" xr:uid="{9EF2FD3D-FE86-4185-BBEE-CB4869BCB4C8}"/>
    <cellStyle name="RISKtlCorner 4 21" xfId="11775" xr:uid="{D6CA9277-9E8D-48D5-BA46-5D1FD062D914}"/>
    <cellStyle name="RISKtlCorner 4 22" xfId="11965" xr:uid="{49AB9CC8-0759-43DC-A1AA-8000CCA5FC03}"/>
    <cellStyle name="RISKtlCorner 4 23" xfId="12217" xr:uid="{97688B3E-CEE3-4641-9117-FE802B58F891}"/>
    <cellStyle name="RISKtlCorner 4 24" xfId="12659" xr:uid="{1613174F-A4D5-4A12-977A-99B75036F335}"/>
    <cellStyle name="RISKtlCorner 4 25" xfId="12824" xr:uid="{97BA1210-7845-4BF1-BB3C-88158491A3A1}"/>
    <cellStyle name="RISKtlCorner 4 26" xfId="12965" xr:uid="{75B40618-39AC-424B-8BAC-B72EB435F433}"/>
    <cellStyle name="RISKtlCorner 4 27" xfId="13327" xr:uid="{55BB9F7E-A806-4E78-B685-97A28F90FA56}"/>
    <cellStyle name="RISKtlCorner 4 28" xfId="13456" xr:uid="{C15569AD-96D4-44F8-974A-8F168EB38931}"/>
    <cellStyle name="RISKtlCorner 4 3" xfId="1374" xr:uid="{00000000-0005-0000-0000-00004B070000}"/>
    <cellStyle name="RISKtlCorner 4 3 2" xfId="3485" xr:uid="{602ACB59-EAD6-42AA-B997-9F72586989D0}"/>
    <cellStyle name="RISKtlCorner 4 3 3" xfId="4791" xr:uid="{CE9029B3-B294-46E8-9587-C4F450EDEDDA}"/>
    <cellStyle name="RISKtlCorner 4 3 4" xfId="8001" xr:uid="{C0A82A9A-3B50-491B-A5D9-C40915102CBB}"/>
    <cellStyle name="RISKtlCorner 4 4" xfId="1623" xr:uid="{00000000-0005-0000-0000-00004C070000}"/>
    <cellStyle name="RISKtlCorner 4 4 2" xfId="3724" xr:uid="{D7211253-620A-450F-836A-A55BC161A447}"/>
    <cellStyle name="RISKtlCorner 4 4 3" xfId="5032" xr:uid="{5F5BEE1F-1691-40EE-968F-324B228F6942}"/>
    <cellStyle name="RISKtlCorner 4 4 4" xfId="8239" xr:uid="{3CBB757F-7D5F-4548-AEE6-A36A00A80598}"/>
    <cellStyle name="RISKtlCorner 4 5" xfId="1880" xr:uid="{00000000-0005-0000-0000-00004D070000}"/>
    <cellStyle name="RISKtlCorner 4 5 2" xfId="3980" xr:uid="{14DF729B-8127-4937-BD6C-6A1EC5135B62}"/>
    <cellStyle name="RISKtlCorner 4 5 3" xfId="5284" xr:uid="{315649EB-B66B-4028-B618-DECE13ADF560}"/>
    <cellStyle name="RISKtlCorner 4 5 4" xfId="8478" xr:uid="{7A09E92E-8D5C-4386-91E9-7339818C400B}"/>
    <cellStyle name="RISKtlCorner 4 6" xfId="2134" xr:uid="{00000000-0005-0000-0000-00004E070000}"/>
    <cellStyle name="RISKtlCorner 4 6 2" xfId="4224" xr:uid="{FDD0C2F7-90DD-4451-99BF-EBFF7DC85FFD}"/>
    <cellStyle name="RISKtlCorner 4 6 3" xfId="5522" xr:uid="{3AB1B714-BF38-4A2F-8555-8300BC018CBB}"/>
    <cellStyle name="RISKtlCorner 4 6 4" xfId="8714" xr:uid="{E290C8B0-85D1-433E-80E9-FC00A4742731}"/>
    <cellStyle name="RISKtlCorner 4 7" xfId="2376" xr:uid="{13D69635-7229-4642-83BD-71CAE655E009}"/>
    <cellStyle name="RISKtlCorner 4 7 2" xfId="5758" xr:uid="{CDAD5FF1-6E03-451F-B1DA-B14D3D81590B}"/>
    <cellStyle name="RISKtlCorner 4 7 3" xfId="8950" xr:uid="{CF29CBF7-60B4-4162-B908-6481E7A4955C}"/>
    <cellStyle name="RISKtlCorner 4 8" xfId="2612" xr:uid="{515A16CB-B3A6-410E-9FD5-9F273FB9C88D}"/>
    <cellStyle name="RISKtlCorner 4 8 2" xfId="5988" xr:uid="{72004C62-BEC0-4667-8E42-6B301CB8B061}"/>
    <cellStyle name="RISKtlCorner 4 8 3" xfId="9180" xr:uid="{9766D4DD-F70D-4A83-849F-278A6217F8D4}"/>
    <cellStyle name="RISKtlCorner 4 9" xfId="2851" xr:uid="{C8471C38-672B-4BA3-874C-5E951E100162}"/>
    <cellStyle name="RISKtlCorner 4 9 2" xfId="6221" xr:uid="{1308061E-20E2-4537-8B4D-716ED566D704}"/>
    <cellStyle name="RISKtlCorner 4 9 3" xfId="9410" xr:uid="{B11B3AB4-91E5-4A70-9915-CFF486D27C76}"/>
    <cellStyle name="RISKtlCorner 5" xfId="1117" xr:uid="{00000000-0005-0000-0000-00004F070000}"/>
    <cellStyle name="RISKtlCorner 5 10" xfId="3058" xr:uid="{9E09910C-F76B-424F-A224-BC668E56A66D}"/>
    <cellStyle name="RISKtlCorner 5 10 2" xfId="6456" xr:uid="{AD54BE7F-EDF3-4910-BDDA-9C85113AA914}"/>
    <cellStyle name="RISKtlCorner 5 10 3" xfId="9642" xr:uid="{A8726778-EA9D-47E3-922D-8F4CCE1B56F6}"/>
    <cellStyle name="RISKtlCorner 5 11" xfId="3300" xr:uid="{42A78B6B-133C-45E8-9E95-69BE74BB8DEB}"/>
    <cellStyle name="RISKtlCorner 5 11 2" xfId="6719" xr:uid="{F690EB8D-93E6-4E50-8D36-CD16FA0B036C}"/>
    <cellStyle name="RISKtlCorner 5 11 3" xfId="9884" xr:uid="{1F8C3328-15E3-4852-B9F9-CCF4CC7B1171}"/>
    <cellStyle name="RISKtlCorner 5 12" xfId="6981" xr:uid="{7F6036B7-D12A-4F2A-928C-CA107D9892A2}"/>
    <cellStyle name="RISKtlCorner 5 12 2" xfId="10126" xr:uid="{90DC50A9-29B1-4CCF-8A7C-EC315ACBE8CD}"/>
    <cellStyle name="RISKtlCorner 5 13" xfId="7230" xr:uid="{D6327A1F-4343-47FD-A754-B80B8BEC924A}"/>
    <cellStyle name="RISKtlCorner 5 13 2" xfId="10369" xr:uid="{F23F7431-3A56-4F49-82C2-594553228929}"/>
    <cellStyle name="RISKtlCorner 5 14" xfId="7584" xr:uid="{D1E3E51D-57D8-43E6-8AF2-8B005B725D6B}"/>
    <cellStyle name="RISKtlCorner 5 14 2" xfId="10718" xr:uid="{5B5A842C-5803-494D-98FF-EDE0980BF294}"/>
    <cellStyle name="RISKtlCorner 5 15" xfId="7722" xr:uid="{A3F1F110-72A5-461A-96CD-04B598C64265}"/>
    <cellStyle name="RISKtlCorner 5 15 2" xfId="10855" xr:uid="{52899251-BF83-4A9B-AA02-ACF2DEBD0E6A}"/>
    <cellStyle name="RISKtlCorner 5 16" xfId="4606" xr:uid="{7B1F6608-1F22-4E92-BBE4-4324D2B58AA0}"/>
    <cellStyle name="RISKtlCorner 5 17" xfId="7826" xr:uid="{86486C51-565D-4C04-A199-6D2CF7A17C85}"/>
    <cellStyle name="RISKtlCorner 5 18" xfId="11108" xr:uid="{B402B098-1E2E-4104-8715-F7A7E9022CCE}"/>
    <cellStyle name="RISKtlCorner 5 19" xfId="11524" xr:uid="{035AD857-9EA5-4928-891D-0B250777E55C}"/>
    <cellStyle name="RISKtlCorner 5 2" xfId="1118" xr:uid="{00000000-0005-0000-0000-000050070000}"/>
    <cellStyle name="RISKtlCorner 5 2 10" xfId="3301" xr:uid="{E9CB660E-153D-4634-B36F-58C493522D55}"/>
    <cellStyle name="RISKtlCorner 5 2 10 2" xfId="6720" xr:uid="{7777FA4D-1565-4AD1-B738-071A35B688B5}"/>
    <cellStyle name="RISKtlCorner 5 2 10 3" xfId="9885" xr:uid="{0ACEE687-4922-4895-AF2D-F61C6370279A}"/>
    <cellStyle name="RISKtlCorner 5 2 11" xfId="6982" xr:uid="{3EDAF4E6-E6CA-4E63-A4C6-395CE2D82F36}"/>
    <cellStyle name="RISKtlCorner 5 2 11 2" xfId="10127" xr:uid="{7E5B4EC0-5DCD-486C-8F25-824A7C6D5737}"/>
    <cellStyle name="RISKtlCorner 5 2 12" xfId="7231" xr:uid="{951BA437-1453-49E1-AD50-39704D847EB5}"/>
    <cellStyle name="RISKtlCorner 5 2 12 2" xfId="10370" xr:uid="{5512A152-95F2-4C71-9B51-09650C9D3A9F}"/>
    <cellStyle name="RISKtlCorner 5 2 13" xfId="7585" xr:uid="{20AEF667-62DB-45B2-960E-E9247F780223}"/>
    <cellStyle name="RISKtlCorner 5 2 13 2" xfId="10719" xr:uid="{E782081A-5FE3-4445-B329-FA4235746FB9}"/>
    <cellStyle name="RISKtlCorner 5 2 14" xfId="7723" xr:uid="{9DC178A9-1A96-4C3D-A16D-D62C38DEDAAD}"/>
    <cellStyle name="RISKtlCorner 5 2 14 2" xfId="10856" xr:uid="{E5BC6927-F3C1-483A-827C-ED8EB680E254}"/>
    <cellStyle name="RISKtlCorner 5 2 15" xfId="4607" xr:uid="{3501A8AB-C173-43DA-B813-361C3BE8E0EF}"/>
    <cellStyle name="RISKtlCorner 5 2 16" xfId="7827" xr:uid="{1D460FED-6060-46F8-9906-90E44718A16F}"/>
    <cellStyle name="RISKtlCorner 5 2 17" xfId="11109" xr:uid="{469716C8-BD7D-4ADD-8D3C-978DD7FEED27}"/>
    <cellStyle name="RISKtlCorner 5 2 18" xfId="11525" xr:uid="{381BCC04-DEA8-447A-B169-A9F4B999E2F4}"/>
    <cellStyle name="RISKtlCorner 5 2 19" xfId="11674" xr:uid="{3D945498-F0BA-4ABB-89A1-BA4BC75E8759}"/>
    <cellStyle name="RISKtlCorner 5 2 2" xfId="1377" xr:uid="{00000000-0005-0000-0000-000051070000}"/>
    <cellStyle name="RISKtlCorner 5 2 2 2" xfId="3488" xr:uid="{6BCDEC35-7FCF-44BA-BCEA-95C2CCE34A29}"/>
    <cellStyle name="RISKtlCorner 5 2 2 3" xfId="4794" xr:uid="{82935086-53F5-41C6-90D5-A40510DA24F2}"/>
    <cellStyle name="RISKtlCorner 5 2 2 4" xfId="8004" xr:uid="{07CA16D2-2663-4648-8839-40C7762B8AF7}"/>
    <cellStyle name="RISKtlCorner 5 2 20" xfId="11778" xr:uid="{EEFB36FC-3A6A-4C83-ACC9-EC232180E6EF}"/>
    <cellStyle name="RISKtlCorner 5 2 21" xfId="11968" xr:uid="{E8A2B165-4E98-44B6-9DB4-03FBC47B1611}"/>
    <cellStyle name="RISKtlCorner 5 2 22" xfId="12220" xr:uid="{E72C6C53-EEFD-44A6-A9AE-DD8F17BE0D69}"/>
    <cellStyle name="RISKtlCorner 5 2 23" xfId="12662" xr:uid="{8E6ACD4A-014A-4E48-A874-2E4A861F1550}"/>
    <cellStyle name="RISKtlCorner 5 2 24" xfId="12827" xr:uid="{F9406257-409E-472F-BBF1-8BBCAB850B22}"/>
    <cellStyle name="RISKtlCorner 5 2 25" xfId="12968" xr:uid="{DD07ACCE-5E5A-4D4D-A48F-FD9A36E2CF30}"/>
    <cellStyle name="RISKtlCorner 5 2 26" xfId="13330" xr:uid="{2008E88D-3224-4DA3-9A2D-2899A196A56F}"/>
    <cellStyle name="RISKtlCorner 5 2 27" xfId="13459" xr:uid="{95CDCD7D-934D-4DEC-B504-DCA6C732D0BD}"/>
    <cellStyle name="RISKtlCorner 5 2 3" xfId="1626" xr:uid="{00000000-0005-0000-0000-000052070000}"/>
    <cellStyle name="RISKtlCorner 5 2 3 2" xfId="3727" xr:uid="{E323D941-A2DD-49AD-8D5C-E9DB4ABECE1F}"/>
    <cellStyle name="RISKtlCorner 5 2 3 3" xfId="5035" xr:uid="{5C7F2351-5651-4536-B224-28224B8C523A}"/>
    <cellStyle name="RISKtlCorner 5 2 3 4" xfId="8242" xr:uid="{3E2D1D81-C3C8-4984-9CD9-F3B2051E27D3}"/>
    <cellStyle name="RISKtlCorner 5 2 4" xfId="1883" xr:uid="{00000000-0005-0000-0000-000053070000}"/>
    <cellStyle name="RISKtlCorner 5 2 4 2" xfId="3983" xr:uid="{3495A409-71C5-43CB-B33F-1EFCEA10E75D}"/>
    <cellStyle name="RISKtlCorner 5 2 4 3" xfId="5287" xr:uid="{E4F8CD8E-AB2C-4396-A2F3-78FBCBAB1247}"/>
    <cellStyle name="RISKtlCorner 5 2 4 4" xfId="8481" xr:uid="{828E40D4-BF93-4E81-9B9F-01C305E088C6}"/>
    <cellStyle name="RISKtlCorner 5 2 5" xfId="2137" xr:uid="{00000000-0005-0000-0000-000054070000}"/>
    <cellStyle name="RISKtlCorner 5 2 5 2" xfId="4227" xr:uid="{1B65D04C-81B5-4E45-8CEE-209A02261698}"/>
    <cellStyle name="RISKtlCorner 5 2 5 3" xfId="5525" xr:uid="{5FC859FB-C849-46E4-AE4B-7FC573448705}"/>
    <cellStyle name="RISKtlCorner 5 2 5 4" xfId="8717" xr:uid="{AB9701D2-6FA5-4393-BCCA-80AF332B0EDB}"/>
    <cellStyle name="RISKtlCorner 5 2 6" xfId="2379" xr:uid="{B73C8D87-3F02-4A53-9B7B-9173497DF2F8}"/>
    <cellStyle name="RISKtlCorner 5 2 6 2" xfId="5761" xr:uid="{2062281A-84DC-4BC3-9FDA-386EA27D3953}"/>
    <cellStyle name="RISKtlCorner 5 2 6 3" xfId="8953" xr:uid="{E02391BC-5FF1-4061-A425-8AFF75C582F6}"/>
    <cellStyle name="RISKtlCorner 5 2 7" xfId="2615" xr:uid="{E7B69E59-C8E7-4C3F-B40B-D0043E51D223}"/>
    <cellStyle name="RISKtlCorner 5 2 7 2" xfId="5991" xr:uid="{0882E2D8-8C12-487E-A10A-33F5AA17D7A5}"/>
    <cellStyle name="RISKtlCorner 5 2 7 3" xfId="9183" xr:uid="{56ACFAA0-75F9-4FC6-BFB3-69952E19F293}"/>
    <cellStyle name="RISKtlCorner 5 2 8" xfId="2854" xr:uid="{563C8689-7A30-4CA9-AED8-C2971B4B95A7}"/>
    <cellStyle name="RISKtlCorner 5 2 8 2" xfId="6224" xr:uid="{C4A94C4F-DB81-4266-ABEF-7315202416C8}"/>
    <cellStyle name="RISKtlCorner 5 2 8 3" xfId="9413" xr:uid="{525BFBDC-B6F3-4B30-9D34-D431693D98EB}"/>
    <cellStyle name="RISKtlCorner 5 2 9" xfId="3059" xr:uid="{41B7B7C6-E35A-460C-AF6C-B5C1EFCADF0D}"/>
    <cellStyle name="RISKtlCorner 5 2 9 2" xfId="6457" xr:uid="{A831A3E5-00E4-4E7C-A0EE-4130BE496670}"/>
    <cellStyle name="RISKtlCorner 5 2 9 3" xfId="9643" xr:uid="{CFDDCF5D-16FD-433F-9883-863C2CEEE65B}"/>
    <cellStyle name="RISKtlCorner 5 20" xfId="11673" xr:uid="{49C90BD7-CA2C-4A40-8ADF-17D43FDF60FC}"/>
    <cellStyle name="RISKtlCorner 5 21" xfId="11777" xr:uid="{7629F82D-A56E-4650-B494-CC80C4F9CDEA}"/>
    <cellStyle name="RISKtlCorner 5 22" xfId="11967" xr:uid="{75781859-7C30-4B32-A484-2E87C110346D}"/>
    <cellStyle name="RISKtlCorner 5 23" xfId="12219" xr:uid="{CC3DA008-CACE-438B-9ACC-A62FE6CB5F39}"/>
    <cellStyle name="RISKtlCorner 5 24" xfId="12661" xr:uid="{F07032B6-E572-428F-95A2-D482C59B4EC0}"/>
    <cellStyle name="RISKtlCorner 5 25" xfId="12826" xr:uid="{DCF44A6E-E1DD-4A9F-B2D9-35F7571A5483}"/>
    <cellStyle name="RISKtlCorner 5 26" xfId="12967" xr:uid="{175AE07E-8C47-4284-B9CA-8567EC6A8C92}"/>
    <cellStyle name="RISKtlCorner 5 27" xfId="13329" xr:uid="{E74B696C-5408-402E-A0F6-FBA5A0CD33B9}"/>
    <cellStyle name="RISKtlCorner 5 28" xfId="13458" xr:uid="{C3DF2265-3CE5-4292-B5B2-DE2F825B7DA4}"/>
    <cellStyle name="RISKtlCorner 5 3" xfId="1376" xr:uid="{00000000-0005-0000-0000-000055070000}"/>
    <cellStyle name="RISKtlCorner 5 3 2" xfId="3487" xr:uid="{E2DAD672-8657-4F15-AE9C-7DED79C4FEBB}"/>
    <cellStyle name="RISKtlCorner 5 3 3" xfId="4793" xr:uid="{F356EB10-D580-45E7-AD32-8788FD3EC9E8}"/>
    <cellStyle name="RISKtlCorner 5 3 4" xfId="8003" xr:uid="{E1B55E2D-E036-4FF4-9785-EA8619398A1D}"/>
    <cellStyle name="RISKtlCorner 5 4" xfId="1625" xr:uid="{00000000-0005-0000-0000-000056070000}"/>
    <cellStyle name="RISKtlCorner 5 4 2" xfId="3726" xr:uid="{4BF3080D-7FCE-449A-BF55-01AA2847DAB2}"/>
    <cellStyle name="RISKtlCorner 5 4 3" xfId="5034" xr:uid="{C5813280-763B-438C-8E16-929DC2973367}"/>
    <cellStyle name="RISKtlCorner 5 4 4" xfId="8241" xr:uid="{88AD9883-5F44-4A30-A4AD-6B3F08A3F117}"/>
    <cellStyle name="RISKtlCorner 5 5" xfId="1882" xr:uid="{00000000-0005-0000-0000-000057070000}"/>
    <cellStyle name="RISKtlCorner 5 5 2" xfId="3982" xr:uid="{F43BFAD0-3076-4B93-8009-A5C115567972}"/>
    <cellStyle name="RISKtlCorner 5 5 3" xfId="5286" xr:uid="{CEDEDB27-C95F-4596-AB06-727BD179E7E7}"/>
    <cellStyle name="RISKtlCorner 5 5 4" xfId="8480" xr:uid="{82271A8A-62B2-4C4F-AEBB-C1D002B0186E}"/>
    <cellStyle name="RISKtlCorner 5 6" xfId="2136" xr:uid="{00000000-0005-0000-0000-000058070000}"/>
    <cellStyle name="RISKtlCorner 5 6 2" xfId="4226" xr:uid="{4E7D8626-2421-4044-BAD7-A2643B3F542A}"/>
    <cellStyle name="RISKtlCorner 5 6 3" xfId="5524" xr:uid="{D87155AA-EB1A-4CCD-B5F3-57604441ED47}"/>
    <cellStyle name="RISKtlCorner 5 6 4" xfId="8716" xr:uid="{FD0DC553-4CBC-4552-987B-E8C035A57D29}"/>
    <cellStyle name="RISKtlCorner 5 7" xfId="2378" xr:uid="{C7CBEF5D-5003-4BE9-9979-3AC1A501F175}"/>
    <cellStyle name="RISKtlCorner 5 7 2" xfId="5760" xr:uid="{4AB83F35-5AAE-4C6D-B4FB-F4B0F26046FB}"/>
    <cellStyle name="RISKtlCorner 5 7 3" xfId="8952" xr:uid="{6052BD9B-123C-4232-A2B4-8FCD2702EBFE}"/>
    <cellStyle name="RISKtlCorner 5 8" xfId="2614" xr:uid="{3B47E2EF-EAE8-4683-8D93-E5F94B1D3371}"/>
    <cellStyle name="RISKtlCorner 5 8 2" xfId="5990" xr:uid="{19F21765-A8F4-4028-AEB8-A48103CE0416}"/>
    <cellStyle name="RISKtlCorner 5 8 3" xfId="9182" xr:uid="{E15D7391-B483-48F5-A1B9-E89F7FD7DD28}"/>
    <cellStyle name="RISKtlCorner 5 9" xfId="2853" xr:uid="{CC53F384-115E-4670-9EF9-F54C3F930545}"/>
    <cellStyle name="RISKtlCorner 5 9 2" xfId="6223" xr:uid="{DB68C686-B614-4F11-A49F-1736B7782C85}"/>
    <cellStyle name="RISKtlCorner 5 9 3" xfId="9412" xr:uid="{31C7685C-419C-4804-9D0C-5CD54ED9847C}"/>
    <cellStyle name="RISKtlCorner 6" xfId="1119" xr:uid="{00000000-0005-0000-0000-000059070000}"/>
    <cellStyle name="RISKtlCorner 6 10" xfId="3060" xr:uid="{64A92106-5FD5-4BF1-86F9-5983394D753D}"/>
    <cellStyle name="RISKtlCorner 6 10 2" xfId="6458" xr:uid="{9B96BAC9-7450-4377-AEB7-F4C61830D525}"/>
    <cellStyle name="RISKtlCorner 6 10 3" xfId="9644" xr:uid="{6BC8E14B-F548-48F5-B7D6-6B8201B720EF}"/>
    <cellStyle name="RISKtlCorner 6 11" xfId="3302" xr:uid="{0C4CD12A-1F82-40B5-AD32-F1A30C8D1489}"/>
    <cellStyle name="RISKtlCorner 6 11 2" xfId="6721" xr:uid="{BA412C9C-A2BA-4706-82E9-83CDF89AFF57}"/>
    <cellStyle name="RISKtlCorner 6 11 3" xfId="9886" xr:uid="{B345FDE9-3390-4792-BD3E-FBB51F3FEE96}"/>
    <cellStyle name="RISKtlCorner 6 12" xfId="6983" xr:uid="{C103F443-363F-406B-9AE2-6640BF9EEEBD}"/>
    <cellStyle name="RISKtlCorner 6 12 2" xfId="10128" xr:uid="{B642667C-70D0-496D-B1F1-24DD998D1838}"/>
    <cellStyle name="RISKtlCorner 6 13" xfId="7232" xr:uid="{1621E78C-1A13-48F8-AFCA-28E9F03848E9}"/>
    <cellStyle name="RISKtlCorner 6 13 2" xfId="10371" xr:uid="{C04854C0-AE18-4882-B06B-BC48526E49A4}"/>
    <cellStyle name="RISKtlCorner 6 14" xfId="7586" xr:uid="{88EE078F-FB61-46B6-8689-B99D3FBFB31A}"/>
    <cellStyle name="RISKtlCorner 6 14 2" xfId="10720" xr:uid="{8DF7056A-B917-4CA0-B354-08B269F23754}"/>
    <cellStyle name="RISKtlCorner 6 15" xfId="7724" xr:uid="{4B1FB57A-DB23-4D32-9301-920E751B1D87}"/>
    <cellStyle name="RISKtlCorner 6 15 2" xfId="10857" xr:uid="{BBC99835-64F1-4CA2-9791-4E7FECF4CC43}"/>
    <cellStyle name="RISKtlCorner 6 16" xfId="4608" xr:uid="{4153D73A-D3FE-4E9F-A2C3-D19E9F54091D}"/>
    <cellStyle name="RISKtlCorner 6 17" xfId="7828" xr:uid="{C9BA6D8F-E124-44DD-BB1D-EED1F90F21EF}"/>
    <cellStyle name="RISKtlCorner 6 18" xfId="11110" xr:uid="{DE165B5F-DDCA-4250-AA3B-2C5AD3979D87}"/>
    <cellStyle name="RISKtlCorner 6 19" xfId="11526" xr:uid="{E077DAC2-ABB7-44F4-8DF5-CF8CF538CD77}"/>
    <cellStyle name="RISKtlCorner 6 2" xfId="1120" xr:uid="{00000000-0005-0000-0000-00005A070000}"/>
    <cellStyle name="RISKtlCorner 6 2 10" xfId="3303" xr:uid="{BA03C3C8-B3D1-4C04-8F4C-D423444BB63A}"/>
    <cellStyle name="RISKtlCorner 6 2 10 2" xfId="6722" xr:uid="{EAFEA6F2-79D5-4A46-8A65-4A047161B428}"/>
    <cellStyle name="RISKtlCorner 6 2 10 3" xfId="9887" xr:uid="{54882466-F5E7-4260-8487-1369DDEA5398}"/>
    <cellStyle name="RISKtlCorner 6 2 11" xfId="6984" xr:uid="{B0AB05CC-B302-4D73-82AB-15797FA5C748}"/>
    <cellStyle name="RISKtlCorner 6 2 11 2" xfId="10129" xr:uid="{684AD1CC-5C49-4612-B52E-EF0782AC178D}"/>
    <cellStyle name="RISKtlCorner 6 2 12" xfId="7233" xr:uid="{50A05399-C74C-4A37-8F31-B4FF13DE4C2A}"/>
    <cellStyle name="RISKtlCorner 6 2 12 2" xfId="10372" xr:uid="{27CE464E-A3F1-4EE5-ABD8-30AC6174FAD4}"/>
    <cellStyle name="RISKtlCorner 6 2 13" xfId="7587" xr:uid="{3D0ACAA0-8A20-4325-AD4F-9F0067B2F288}"/>
    <cellStyle name="RISKtlCorner 6 2 13 2" xfId="10721" xr:uid="{B974CB80-57AA-46A0-8FF3-A11B558AA3E4}"/>
    <cellStyle name="RISKtlCorner 6 2 14" xfId="7725" xr:uid="{25D6A397-105B-4CE1-90CC-382A23288164}"/>
    <cellStyle name="RISKtlCorner 6 2 14 2" xfId="10858" xr:uid="{B5A90A0C-6FF6-4489-8F93-6EF050FB8C7C}"/>
    <cellStyle name="RISKtlCorner 6 2 15" xfId="4609" xr:uid="{F18A5EB4-DDEF-4CAE-92B0-5E1C456318A0}"/>
    <cellStyle name="RISKtlCorner 6 2 16" xfId="7829" xr:uid="{7FE82505-73E4-4715-9BC9-5ADD4CA7A5DB}"/>
    <cellStyle name="RISKtlCorner 6 2 17" xfId="11111" xr:uid="{99163186-0808-4639-A531-862F950F406D}"/>
    <cellStyle name="RISKtlCorner 6 2 18" xfId="11527" xr:uid="{1AD808A9-2703-4F77-9BC9-13C4B34CF8B0}"/>
    <cellStyle name="RISKtlCorner 6 2 19" xfId="11676" xr:uid="{A8601CA9-DB59-4B5E-95E9-F4AA963B2DB3}"/>
    <cellStyle name="RISKtlCorner 6 2 2" xfId="1379" xr:uid="{00000000-0005-0000-0000-00005B070000}"/>
    <cellStyle name="RISKtlCorner 6 2 2 2" xfId="3490" xr:uid="{AE2904C7-FBD2-42B3-9DE0-6E4DDBFB5FB0}"/>
    <cellStyle name="RISKtlCorner 6 2 2 3" xfId="4796" xr:uid="{46F4DB4A-9CE6-4D62-9989-6CDC83B89795}"/>
    <cellStyle name="RISKtlCorner 6 2 2 4" xfId="8006" xr:uid="{50430BF3-2DE7-4BCB-A66C-A24C89F3B3D3}"/>
    <cellStyle name="RISKtlCorner 6 2 20" xfId="11780" xr:uid="{D8335D61-27A4-414A-B667-6683592B32BC}"/>
    <cellStyle name="RISKtlCorner 6 2 21" xfId="11970" xr:uid="{C9A74EFF-622F-4065-9CDF-03388AE2EF19}"/>
    <cellStyle name="RISKtlCorner 6 2 22" xfId="12222" xr:uid="{CE720282-B106-4C91-BE2D-CF10C8EF9FA6}"/>
    <cellStyle name="RISKtlCorner 6 2 23" xfId="12664" xr:uid="{8167015F-148C-4908-A33E-7F900642E72B}"/>
    <cellStyle name="RISKtlCorner 6 2 24" xfId="12829" xr:uid="{84A2B3D5-A22F-4E99-B0D6-805727DB056C}"/>
    <cellStyle name="RISKtlCorner 6 2 25" xfId="12970" xr:uid="{14CA0095-8A72-4452-B4A0-6902C9B25B34}"/>
    <cellStyle name="RISKtlCorner 6 2 26" xfId="13332" xr:uid="{E7290F8D-962F-4EEB-9844-71FD9E6ECD92}"/>
    <cellStyle name="RISKtlCorner 6 2 27" xfId="13461" xr:uid="{6FAF65D6-5AA1-4E04-A737-C57517024DF9}"/>
    <cellStyle name="RISKtlCorner 6 2 3" xfId="1628" xr:uid="{00000000-0005-0000-0000-00005C070000}"/>
    <cellStyle name="RISKtlCorner 6 2 3 2" xfId="3729" xr:uid="{9DA3C245-C37E-41DC-BD2D-8E7CBDDDE26D}"/>
    <cellStyle name="RISKtlCorner 6 2 3 3" xfId="5037" xr:uid="{3366BB1E-CC0D-406C-934F-9D5899DA2757}"/>
    <cellStyle name="RISKtlCorner 6 2 3 4" xfId="8244" xr:uid="{D8407BEE-01B6-4A1F-860C-B9BACD86445D}"/>
    <cellStyle name="RISKtlCorner 6 2 4" xfId="1885" xr:uid="{00000000-0005-0000-0000-00005D070000}"/>
    <cellStyle name="RISKtlCorner 6 2 4 2" xfId="3985" xr:uid="{8E886F02-6120-4C48-8A34-18004CB20D0E}"/>
    <cellStyle name="RISKtlCorner 6 2 4 3" xfId="5289" xr:uid="{885D4D97-C0F5-40F3-ABF0-DE148F0A14E4}"/>
    <cellStyle name="RISKtlCorner 6 2 4 4" xfId="8483" xr:uid="{832DC327-10EF-4514-ADBA-FC705B9AF172}"/>
    <cellStyle name="RISKtlCorner 6 2 5" xfId="2139" xr:uid="{00000000-0005-0000-0000-00005E070000}"/>
    <cellStyle name="RISKtlCorner 6 2 5 2" xfId="4229" xr:uid="{FD499E65-E2F2-454C-B6AC-546949650C9F}"/>
    <cellStyle name="RISKtlCorner 6 2 5 3" xfId="5527" xr:uid="{D2330089-28D8-4D78-88C3-A32AB093A66D}"/>
    <cellStyle name="RISKtlCorner 6 2 5 4" xfId="8719" xr:uid="{5378C090-37F1-4762-8163-25E36AA90361}"/>
    <cellStyle name="RISKtlCorner 6 2 6" xfId="2381" xr:uid="{332DE5C6-10F4-4587-881A-1C3E2878C345}"/>
    <cellStyle name="RISKtlCorner 6 2 6 2" xfId="5763" xr:uid="{4FD83FD4-12AF-4627-8BB7-E52BF860165B}"/>
    <cellStyle name="RISKtlCorner 6 2 6 3" xfId="8955" xr:uid="{F1925856-5265-4837-83F1-390CC9078803}"/>
    <cellStyle name="RISKtlCorner 6 2 7" xfId="2617" xr:uid="{D40949C5-CF08-4098-9854-F5C69A9BFA4A}"/>
    <cellStyle name="RISKtlCorner 6 2 7 2" xfId="5993" xr:uid="{47752A62-86EE-4809-A70C-5D873D632FEC}"/>
    <cellStyle name="RISKtlCorner 6 2 7 3" xfId="9185" xr:uid="{6772B748-B177-47D3-B830-A9B968BB17AA}"/>
    <cellStyle name="RISKtlCorner 6 2 8" xfId="2856" xr:uid="{0313183E-4A54-4773-AC37-4842E80191DE}"/>
    <cellStyle name="RISKtlCorner 6 2 8 2" xfId="6226" xr:uid="{18F9DB49-D480-4A23-8EFB-4AAA1CD3E2A8}"/>
    <cellStyle name="RISKtlCorner 6 2 8 3" xfId="9415" xr:uid="{94360397-6323-4ADA-953D-9BA6536F9D52}"/>
    <cellStyle name="RISKtlCorner 6 2 9" xfId="3061" xr:uid="{6EC7E316-DE78-4304-A027-B8F8C23B9F8A}"/>
    <cellStyle name="RISKtlCorner 6 2 9 2" xfId="6459" xr:uid="{C6B69557-EA2F-4BA5-A40D-6B3EA5F8D573}"/>
    <cellStyle name="RISKtlCorner 6 2 9 3" xfId="9645" xr:uid="{98FC8E01-FEDD-4381-9EFE-CC2E4AC307C4}"/>
    <cellStyle name="RISKtlCorner 6 20" xfId="11675" xr:uid="{018F7C4A-6B44-4ADE-B55F-100D40799946}"/>
    <cellStyle name="RISKtlCorner 6 21" xfId="11779" xr:uid="{23A47248-229F-402E-8135-5DC6E4EF4886}"/>
    <cellStyle name="RISKtlCorner 6 22" xfId="11969" xr:uid="{277575A0-987C-47A5-A844-C39BD90BF260}"/>
    <cellStyle name="RISKtlCorner 6 23" xfId="12221" xr:uid="{205D6366-AFC2-4BD5-AF76-A7BFBFC763B3}"/>
    <cellStyle name="RISKtlCorner 6 24" xfId="12663" xr:uid="{410EF11C-58A2-4304-A581-9E67642ABB2E}"/>
    <cellStyle name="RISKtlCorner 6 25" xfId="12828" xr:uid="{AE33E6E2-3667-40DC-A2B3-ACC5AC80DB26}"/>
    <cellStyle name="RISKtlCorner 6 26" xfId="12969" xr:uid="{CC983091-6CA0-4A9B-8391-3110198CBD33}"/>
    <cellStyle name="RISKtlCorner 6 27" xfId="13331" xr:uid="{FEE2A88F-5384-4774-9DBB-4E8FC0744801}"/>
    <cellStyle name="RISKtlCorner 6 28" xfId="13460" xr:uid="{EF6C51F6-FD79-4806-AD40-C3F25837F88B}"/>
    <cellStyle name="RISKtlCorner 6 3" xfId="1378" xr:uid="{00000000-0005-0000-0000-00005F070000}"/>
    <cellStyle name="RISKtlCorner 6 3 2" xfId="3489" xr:uid="{19D6F2A1-EDAE-4E5C-BFF1-B329C49C13B7}"/>
    <cellStyle name="RISKtlCorner 6 3 3" xfId="4795" xr:uid="{10E9A39A-3791-405D-9BD8-679937D3DAC2}"/>
    <cellStyle name="RISKtlCorner 6 3 4" xfId="8005" xr:uid="{31DCBD5C-CFCA-4540-B06B-BF6CAE444291}"/>
    <cellStyle name="RISKtlCorner 6 4" xfId="1627" xr:uid="{00000000-0005-0000-0000-000060070000}"/>
    <cellStyle name="RISKtlCorner 6 4 2" xfId="3728" xr:uid="{81C4107E-F86B-4B33-BEFB-656D9AB6FDE4}"/>
    <cellStyle name="RISKtlCorner 6 4 3" xfId="5036" xr:uid="{0BCD4560-10C5-4759-8C71-6CE8BD72B4CD}"/>
    <cellStyle name="RISKtlCorner 6 4 4" xfId="8243" xr:uid="{51E21016-2F37-4026-BBBE-4C395C8B286F}"/>
    <cellStyle name="RISKtlCorner 6 5" xfId="1884" xr:uid="{00000000-0005-0000-0000-000061070000}"/>
    <cellStyle name="RISKtlCorner 6 5 2" xfId="3984" xr:uid="{C2B5168C-F27E-4DA4-977F-1744CD24E129}"/>
    <cellStyle name="RISKtlCorner 6 5 3" xfId="5288" xr:uid="{D234A709-5C92-4A4E-9161-271ECA9559F4}"/>
    <cellStyle name="RISKtlCorner 6 5 4" xfId="8482" xr:uid="{CE319070-7CA2-495A-877E-5DBE40126039}"/>
    <cellStyle name="RISKtlCorner 6 6" xfId="2138" xr:uid="{00000000-0005-0000-0000-000062070000}"/>
    <cellStyle name="RISKtlCorner 6 6 2" xfId="4228" xr:uid="{D23303E3-DE65-4951-8152-09F1AA697EEC}"/>
    <cellStyle name="RISKtlCorner 6 6 3" xfId="5526" xr:uid="{09572ECB-D8AB-4920-AD0A-1834E095EB05}"/>
    <cellStyle name="RISKtlCorner 6 6 4" xfId="8718" xr:uid="{43529018-8786-47FB-B6CE-4A2CA6E7D347}"/>
    <cellStyle name="RISKtlCorner 6 7" xfId="2380" xr:uid="{721AC390-A753-4AF8-8A4D-1EEB4DC8E998}"/>
    <cellStyle name="RISKtlCorner 6 7 2" xfId="5762" xr:uid="{B9C1F45B-6EF4-4FF4-BF4A-31CEEDEEF20A}"/>
    <cellStyle name="RISKtlCorner 6 7 3" xfId="8954" xr:uid="{C162E2FD-962F-424C-B4AA-46E9D6AA712D}"/>
    <cellStyle name="RISKtlCorner 6 8" xfId="2616" xr:uid="{650FB546-A441-4027-A4A7-120B0E28FDFE}"/>
    <cellStyle name="RISKtlCorner 6 8 2" xfId="5992" xr:uid="{7972D8E6-3AA1-4B53-AA06-E93D555335A2}"/>
    <cellStyle name="RISKtlCorner 6 8 3" xfId="9184" xr:uid="{33991045-8771-4280-8649-4A4B7B7251EA}"/>
    <cellStyle name="RISKtlCorner 6 9" xfId="2855" xr:uid="{ADA14D5C-1AF0-4892-8B91-B190C1F77900}"/>
    <cellStyle name="RISKtlCorner 6 9 2" xfId="6225" xr:uid="{859B6185-C56B-458A-9746-9E1BBA7B335B}"/>
    <cellStyle name="RISKtlCorner 6 9 3" xfId="9414" xr:uid="{61270E63-788A-44BD-90E6-C8C1174E5A84}"/>
    <cellStyle name="RISKtlCorner 7" xfId="1121" xr:uid="{00000000-0005-0000-0000-000063070000}"/>
    <cellStyle name="RISKtlCorner 7 10" xfId="2857" xr:uid="{24D33D07-5C4D-4A7F-AFDA-EABA4389C88E}"/>
    <cellStyle name="RISKtlCorner 7 10 2" xfId="6227" xr:uid="{496B211A-3A1A-4088-B351-D910DB887BB9}"/>
    <cellStyle name="RISKtlCorner 7 10 3" xfId="9416" xr:uid="{BF1C3BD3-C02E-47BF-83BD-D232440F83F4}"/>
    <cellStyle name="RISKtlCorner 7 11" xfId="3062" xr:uid="{22195542-7A1C-4CEB-BC4F-1311123427B7}"/>
    <cellStyle name="RISKtlCorner 7 11 2" xfId="6460" xr:uid="{2279A7B4-DB46-4437-8767-6AB4E772A05F}"/>
    <cellStyle name="RISKtlCorner 7 11 3" xfId="9646" xr:uid="{776E3D6D-E3CD-40A1-BB26-B76E48F8FD83}"/>
    <cellStyle name="RISKtlCorner 7 12" xfId="3304" xr:uid="{F929D82F-BBA3-4823-98F0-0D7BC07E3D8B}"/>
    <cellStyle name="RISKtlCorner 7 12 2" xfId="6723" xr:uid="{635DA789-B8DD-4BD7-9836-702C77B52A7C}"/>
    <cellStyle name="RISKtlCorner 7 12 3" xfId="9888" xr:uid="{B6A786E8-F17F-4930-B303-B09360DC093E}"/>
    <cellStyle name="RISKtlCorner 7 13" xfId="6985" xr:uid="{5ED9F8C7-3D9D-410D-B5F3-91111C728BA5}"/>
    <cellStyle name="RISKtlCorner 7 13 2" xfId="10130" xr:uid="{BD038626-4EF0-4B1A-8C82-253E4FB75827}"/>
    <cellStyle name="RISKtlCorner 7 14" xfId="7234" xr:uid="{419B2697-D5C9-4B36-891C-C6B11EC31911}"/>
    <cellStyle name="RISKtlCorner 7 14 2" xfId="10373" xr:uid="{35A2D76F-A2EB-40CB-BF3C-5EA3406CC798}"/>
    <cellStyle name="RISKtlCorner 7 15" xfId="7588" xr:uid="{522893D8-BDE8-4AF1-9B95-DCE9D86DB55E}"/>
    <cellStyle name="RISKtlCorner 7 15 2" xfId="10722" xr:uid="{91DEB76F-D24E-4DAF-BBD9-98C1F507426A}"/>
    <cellStyle name="RISKtlCorner 7 16" xfId="7726" xr:uid="{836B2987-E673-4C97-B9A9-91DCF1183B22}"/>
    <cellStyle name="RISKtlCorner 7 16 2" xfId="10859" xr:uid="{64E5C034-D1FB-48A6-94DE-7E573371D8DE}"/>
    <cellStyle name="RISKtlCorner 7 17" xfId="4610" xr:uid="{B327C651-3276-4EE6-B125-4E64C8076DD0}"/>
    <cellStyle name="RISKtlCorner 7 18" xfId="7830" xr:uid="{CFAC23A9-DE14-4322-B19D-F799B88A0D9C}"/>
    <cellStyle name="RISKtlCorner 7 19" xfId="11112" xr:uid="{C8BA483A-4ABC-47E9-B2AF-21FBDCA010E4}"/>
    <cellStyle name="RISKtlCorner 7 2" xfId="1122" xr:uid="{00000000-0005-0000-0000-000064070000}"/>
    <cellStyle name="RISKtlCorner 7 2 10" xfId="3305" xr:uid="{942F4EE5-CE2A-42EC-AE80-B7EEE1962892}"/>
    <cellStyle name="RISKtlCorner 7 2 10 2" xfId="6724" xr:uid="{D4056EEB-010C-4951-808E-D68353E6F3CC}"/>
    <cellStyle name="RISKtlCorner 7 2 10 3" xfId="9889" xr:uid="{42710A02-48C8-468E-8B86-FC05C49B0BA2}"/>
    <cellStyle name="RISKtlCorner 7 2 11" xfId="6986" xr:uid="{E1F90D9C-42EF-4BD3-830E-4D91F889F33C}"/>
    <cellStyle name="RISKtlCorner 7 2 11 2" xfId="10131" xr:uid="{F074950C-033D-4C45-8621-6A9A1B3D9EE8}"/>
    <cellStyle name="RISKtlCorner 7 2 12" xfId="7235" xr:uid="{CA2E1C69-A20B-44FE-86C7-B90780CC904D}"/>
    <cellStyle name="RISKtlCorner 7 2 12 2" xfId="10374" xr:uid="{D30B6212-66C3-463A-BE88-F7AF8B9C80B9}"/>
    <cellStyle name="RISKtlCorner 7 2 13" xfId="7589" xr:uid="{F397B8A0-DE72-4C44-B507-75B519DDE0D9}"/>
    <cellStyle name="RISKtlCorner 7 2 13 2" xfId="10723" xr:uid="{9C0038C3-153A-4A4D-B4DD-DD2D33AC9A34}"/>
    <cellStyle name="RISKtlCorner 7 2 14" xfId="7727" xr:uid="{A1E6DDF0-DF5A-4D74-B3B5-C177841D0ACD}"/>
    <cellStyle name="RISKtlCorner 7 2 14 2" xfId="10860" xr:uid="{847E8677-5D7A-4350-B21C-F489B0D9BF4C}"/>
    <cellStyle name="RISKtlCorner 7 2 15" xfId="4611" xr:uid="{0DBC0B57-8091-4AD8-A2F9-5AE57805F711}"/>
    <cellStyle name="RISKtlCorner 7 2 16" xfId="7831" xr:uid="{DF25D0C1-E051-4B1A-802A-BCCFF1C5F8D4}"/>
    <cellStyle name="RISKtlCorner 7 2 17" xfId="11113" xr:uid="{49891354-CB60-4E95-8E1C-E0CF50F6F5F7}"/>
    <cellStyle name="RISKtlCorner 7 2 18" xfId="11529" xr:uid="{0F9596DC-4591-4DB3-AADE-566B5DB43D7E}"/>
    <cellStyle name="RISKtlCorner 7 2 19" xfId="11678" xr:uid="{2F98AEE4-047C-475B-994C-84CBE263370B}"/>
    <cellStyle name="RISKtlCorner 7 2 2" xfId="1381" xr:uid="{00000000-0005-0000-0000-000065070000}"/>
    <cellStyle name="RISKtlCorner 7 2 2 2" xfId="3492" xr:uid="{2C3B3855-BE60-498B-91EF-0A22CE3C884A}"/>
    <cellStyle name="RISKtlCorner 7 2 2 3" xfId="4798" xr:uid="{39EE2F3A-45B8-4BD6-8E54-76F8934D6231}"/>
    <cellStyle name="RISKtlCorner 7 2 2 4" xfId="8008" xr:uid="{D204D9DD-8565-4F38-8C01-A6603B04EF53}"/>
    <cellStyle name="RISKtlCorner 7 2 20" xfId="11782" xr:uid="{326A88D8-70A6-46DD-82F3-4F2A1B2CE9DA}"/>
    <cellStyle name="RISKtlCorner 7 2 21" xfId="11972" xr:uid="{C2CED8A3-CAF5-424B-ABBE-01E950CF71F6}"/>
    <cellStyle name="RISKtlCorner 7 2 22" xfId="12224" xr:uid="{EAB91B93-FAE0-4E5C-9D70-D53ECBDBC5FC}"/>
    <cellStyle name="RISKtlCorner 7 2 23" xfId="12666" xr:uid="{4D9973A0-916B-4989-9BD2-B445956661A5}"/>
    <cellStyle name="RISKtlCorner 7 2 24" xfId="12831" xr:uid="{5C2C6B85-782B-4E5B-90AD-D5EDE456EAAE}"/>
    <cellStyle name="RISKtlCorner 7 2 25" xfId="12972" xr:uid="{A8929BCE-6442-45A5-8CAE-EBAFB8D88519}"/>
    <cellStyle name="RISKtlCorner 7 2 26" xfId="13334" xr:uid="{E6936C5F-9356-47FE-BFF3-343CDCC17A8B}"/>
    <cellStyle name="RISKtlCorner 7 2 27" xfId="13463" xr:uid="{4ECADBE2-8F0A-4054-AE16-8EFD8273F3CA}"/>
    <cellStyle name="RISKtlCorner 7 2 3" xfId="1630" xr:uid="{00000000-0005-0000-0000-000066070000}"/>
    <cellStyle name="RISKtlCorner 7 2 3 2" xfId="3731" xr:uid="{D795137D-F88A-459E-9224-479EEEF2F39B}"/>
    <cellStyle name="RISKtlCorner 7 2 3 3" xfId="5039" xr:uid="{6776F49E-9509-4284-8A72-78C41D22BA76}"/>
    <cellStyle name="RISKtlCorner 7 2 3 4" xfId="8246" xr:uid="{AAFA2591-52C1-40BC-9159-BB957A7FBE2A}"/>
    <cellStyle name="RISKtlCorner 7 2 4" xfId="1887" xr:uid="{00000000-0005-0000-0000-000067070000}"/>
    <cellStyle name="RISKtlCorner 7 2 4 2" xfId="3987" xr:uid="{3301453D-8069-4DB0-923E-3AA8965B0479}"/>
    <cellStyle name="RISKtlCorner 7 2 4 3" xfId="5291" xr:uid="{3BA7CC2B-D35D-44B9-99CD-C95FCA7DCBB0}"/>
    <cellStyle name="RISKtlCorner 7 2 4 4" xfId="8485" xr:uid="{A7BB9D65-56AF-40E2-8256-95138DA213B1}"/>
    <cellStyle name="RISKtlCorner 7 2 5" xfId="2141" xr:uid="{00000000-0005-0000-0000-000068070000}"/>
    <cellStyle name="RISKtlCorner 7 2 5 2" xfId="4231" xr:uid="{E0750D3A-E236-4CB4-BCE7-0038C4A75F7E}"/>
    <cellStyle name="RISKtlCorner 7 2 5 3" xfId="5529" xr:uid="{DE15E17F-2816-488A-8379-8E630C9E7136}"/>
    <cellStyle name="RISKtlCorner 7 2 5 4" xfId="8721" xr:uid="{D9AC56FD-AA8A-4205-8D33-AD0EFDB0EB95}"/>
    <cellStyle name="RISKtlCorner 7 2 6" xfId="2383" xr:uid="{92422EA4-B7F8-4B77-82EA-C9E7A8AFB264}"/>
    <cellStyle name="RISKtlCorner 7 2 6 2" xfId="5765" xr:uid="{5339B43B-7DDB-4515-94FD-F571319B4D56}"/>
    <cellStyle name="RISKtlCorner 7 2 6 3" xfId="8957" xr:uid="{1CB7137F-2DE5-4002-8E84-DC5EE9C82F10}"/>
    <cellStyle name="RISKtlCorner 7 2 7" xfId="2619" xr:uid="{D9EA0243-A91C-4933-903F-E4FF44A9D367}"/>
    <cellStyle name="RISKtlCorner 7 2 7 2" xfId="5995" xr:uid="{5D4C66C4-7781-49B6-9FDF-401F0EA516E0}"/>
    <cellStyle name="RISKtlCorner 7 2 7 3" xfId="9187" xr:uid="{F4191DF1-DEFE-45FB-B369-582F5CB8B8EB}"/>
    <cellStyle name="RISKtlCorner 7 2 8" xfId="2858" xr:uid="{F2ACD9A8-F6D1-42B3-AF50-7223389B1D9B}"/>
    <cellStyle name="RISKtlCorner 7 2 8 2" xfId="6228" xr:uid="{5A5C61FF-A258-489F-A0EC-6BB83A886984}"/>
    <cellStyle name="RISKtlCorner 7 2 8 3" xfId="9417" xr:uid="{CDAEACBA-1E2B-4B0F-B3F5-66CB650B429B}"/>
    <cellStyle name="RISKtlCorner 7 2 9" xfId="3063" xr:uid="{FBEEE500-F3E4-4A77-94E0-220F65368630}"/>
    <cellStyle name="RISKtlCorner 7 2 9 2" xfId="6461" xr:uid="{D8F583ED-BBEE-4E94-A44F-698FC65A5A81}"/>
    <cellStyle name="RISKtlCorner 7 2 9 3" xfId="9647" xr:uid="{73DFF116-BCF8-416B-ACDB-A7F84EF37986}"/>
    <cellStyle name="RISKtlCorner 7 20" xfId="11528" xr:uid="{6F1A9592-2CEB-4062-B670-1D799DE5D071}"/>
    <cellStyle name="RISKtlCorner 7 21" xfId="11677" xr:uid="{FE0DA1CB-6052-4232-BB61-C2A0C74340AF}"/>
    <cellStyle name="RISKtlCorner 7 22" xfId="11781" xr:uid="{B83C6008-04BE-41AA-A4E4-6812E1953EA9}"/>
    <cellStyle name="RISKtlCorner 7 23" xfId="11971" xr:uid="{FC001CC5-E02C-4D8C-B4C4-CFB5E6C96853}"/>
    <cellStyle name="RISKtlCorner 7 24" xfId="12223" xr:uid="{8EA9ED5B-F3A2-4201-BA23-BD620A1A2807}"/>
    <cellStyle name="RISKtlCorner 7 25" xfId="12665" xr:uid="{E70F6444-45B2-4A2B-B5D7-75FF1440ED63}"/>
    <cellStyle name="RISKtlCorner 7 26" xfId="12830" xr:uid="{91A5A9C1-2FEE-4056-A7D7-4D3A037DC950}"/>
    <cellStyle name="RISKtlCorner 7 27" xfId="12971" xr:uid="{E43B3397-FC57-4BA3-96E4-863E44CFFEB5}"/>
    <cellStyle name="RISKtlCorner 7 28" xfId="13333" xr:uid="{8746958A-CEC6-415F-83CD-D7ED0E0F1264}"/>
    <cellStyle name="RISKtlCorner 7 29" xfId="13462" xr:uid="{00C7CF80-0C95-4FDA-9203-02B51E443670}"/>
    <cellStyle name="RISKtlCorner 7 3" xfId="1123" xr:uid="{00000000-0005-0000-0000-000069070000}"/>
    <cellStyle name="RISKtlCorner 7 3 10" xfId="3306" xr:uid="{52B1526A-86E7-4A6F-903C-EE037955AA27}"/>
    <cellStyle name="RISKtlCorner 7 3 10 2" xfId="6725" xr:uid="{8E903B53-E630-415B-BE64-1254E4D8E4ED}"/>
    <cellStyle name="RISKtlCorner 7 3 10 3" xfId="9890" xr:uid="{5D76566C-4A1C-42C2-B05E-B94E7AA9615E}"/>
    <cellStyle name="RISKtlCorner 7 3 11" xfId="6987" xr:uid="{632A905F-2E22-485E-B91F-EC61EDC8E0EF}"/>
    <cellStyle name="RISKtlCorner 7 3 11 2" xfId="10132" xr:uid="{A7D05F1E-39E7-4D5E-9089-B47B91DEF15B}"/>
    <cellStyle name="RISKtlCorner 7 3 12" xfId="7236" xr:uid="{A164CC2B-FB43-49BB-99B0-C5E6AC0F1964}"/>
    <cellStyle name="RISKtlCorner 7 3 12 2" xfId="10375" xr:uid="{20F23587-3A78-4C7A-A36B-F701D693C06B}"/>
    <cellStyle name="RISKtlCorner 7 3 13" xfId="7590" xr:uid="{83DD1E4C-8DC8-4F7D-AC2D-DC7ED28D393C}"/>
    <cellStyle name="RISKtlCorner 7 3 13 2" xfId="10724" xr:uid="{2FFAFA0C-3046-4034-BB33-C5E202ED1E36}"/>
    <cellStyle name="RISKtlCorner 7 3 14" xfId="7728" xr:uid="{E9E56027-447C-4406-ADAA-20BCC85B8C2E}"/>
    <cellStyle name="RISKtlCorner 7 3 14 2" xfId="10861" xr:uid="{6E87321D-B70A-456A-9EED-1406313F54EC}"/>
    <cellStyle name="RISKtlCorner 7 3 15" xfId="4612" xr:uid="{360413D9-0ADA-45A3-B76C-BA9EB0A045A5}"/>
    <cellStyle name="RISKtlCorner 7 3 16" xfId="7832" xr:uid="{E76D3847-1AA8-4F90-8F8B-2D3696AEEBD7}"/>
    <cellStyle name="RISKtlCorner 7 3 17" xfId="11114" xr:uid="{C35E8BD7-5E3C-4C42-8DF8-2CD4E77B8768}"/>
    <cellStyle name="RISKtlCorner 7 3 18" xfId="11530" xr:uid="{CC3582FA-AE54-40DC-8AC4-B27C95629050}"/>
    <cellStyle name="RISKtlCorner 7 3 19" xfId="11679" xr:uid="{B5B46995-8AD9-4E42-8EF8-A6119212289F}"/>
    <cellStyle name="RISKtlCorner 7 3 2" xfId="1382" xr:uid="{00000000-0005-0000-0000-00006A070000}"/>
    <cellStyle name="RISKtlCorner 7 3 2 2" xfId="3493" xr:uid="{B607057A-2490-4D4B-97DE-FBBFC5CA0FED}"/>
    <cellStyle name="RISKtlCorner 7 3 2 3" xfId="4799" xr:uid="{5575BB3B-10AE-4019-A6AE-796171D8FF78}"/>
    <cellStyle name="RISKtlCorner 7 3 2 4" xfId="8009" xr:uid="{29FFD173-5C17-4F97-A1EA-91877EC979A8}"/>
    <cellStyle name="RISKtlCorner 7 3 20" xfId="11783" xr:uid="{7752ACE8-6118-412F-95CC-C860A064F42B}"/>
    <cellStyle name="RISKtlCorner 7 3 21" xfId="11973" xr:uid="{36EF11A3-D9A3-4126-8270-0A3B3D5DC9DE}"/>
    <cellStyle name="RISKtlCorner 7 3 22" xfId="12225" xr:uid="{029F2936-3144-45C7-98A9-FE531BA3B806}"/>
    <cellStyle name="RISKtlCorner 7 3 23" xfId="12667" xr:uid="{4816F263-BA49-4E8A-B52D-0984654E6EE2}"/>
    <cellStyle name="RISKtlCorner 7 3 24" xfId="12832" xr:uid="{C5603F9D-CC27-4DD9-87EE-345DE9126FD1}"/>
    <cellStyle name="RISKtlCorner 7 3 25" xfId="12973" xr:uid="{A5BAF0A5-632F-4B2F-B169-BC2C86D92E15}"/>
    <cellStyle name="RISKtlCorner 7 3 26" xfId="13335" xr:uid="{39B353C1-DD30-44E0-A98B-5B7F314512D3}"/>
    <cellStyle name="RISKtlCorner 7 3 27" xfId="13464" xr:uid="{31BCB42B-CDB4-4D71-85D6-49E2D4160161}"/>
    <cellStyle name="RISKtlCorner 7 3 3" xfId="1631" xr:uid="{00000000-0005-0000-0000-00006B070000}"/>
    <cellStyle name="RISKtlCorner 7 3 3 2" xfId="3732" xr:uid="{8A9952D8-FDAC-44AA-B8FA-2916305C9963}"/>
    <cellStyle name="RISKtlCorner 7 3 3 3" xfId="5040" xr:uid="{5C6FB868-0BA0-4044-91B9-127D02A5145B}"/>
    <cellStyle name="RISKtlCorner 7 3 3 4" xfId="8247" xr:uid="{149AF6ED-0D0C-4434-AC15-35FF344977C9}"/>
    <cellStyle name="RISKtlCorner 7 3 4" xfId="1888" xr:uid="{00000000-0005-0000-0000-00006C070000}"/>
    <cellStyle name="RISKtlCorner 7 3 4 2" xfId="3988" xr:uid="{DBDAB853-D8AF-43C3-9DA0-54CF358DE21B}"/>
    <cellStyle name="RISKtlCorner 7 3 4 3" xfId="5292" xr:uid="{15D896AF-E661-41CD-8BAC-F2F1034FE385}"/>
    <cellStyle name="RISKtlCorner 7 3 4 4" xfId="8486" xr:uid="{A27C0C73-4662-4206-842F-4D4B2C6A4E73}"/>
    <cellStyle name="RISKtlCorner 7 3 5" xfId="2142" xr:uid="{00000000-0005-0000-0000-00006D070000}"/>
    <cellStyle name="RISKtlCorner 7 3 5 2" xfId="4232" xr:uid="{8A6E0C07-7EC0-4ED5-B392-BB313A5FFD01}"/>
    <cellStyle name="RISKtlCorner 7 3 5 3" xfId="5530" xr:uid="{BF415392-6C4A-4DE7-B225-B8C253DBB67A}"/>
    <cellStyle name="RISKtlCorner 7 3 5 4" xfId="8722" xr:uid="{8FA89BDC-E58C-403E-9CA2-15DA5947E7FD}"/>
    <cellStyle name="RISKtlCorner 7 3 6" xfId="2384" xr:uid="{191560A1-BCC6-4769-9EB9-BA7A701C532C}"/>
    <cellStyle name="RISKtlCorner 7 3 6 2" xfId="5766" xr:uid="{6F4234BD-D0A8-4C5C-895C-881916D30D91}"/>
    <cellStyle name="RISKtlCorner 7 3 6 3" xfId="8958" xr:uid="{9832A114-2B42-498C-89A9-8ED3706201AA}"/>
    <cellStyle name="RISKtlCorner 7 3 7" xfId="2620" xr:uid="{4EE898C5-1FD5-4855-90A0-BFACFC985934}"/>
    <cellStyle name="RISKtlCorner 7 3 7 2" xfId="5996" xr:uid="{2E1BE153-B794-4CB9-A145-22DF8A97AD02}"/>
    <cellStyle name="RISKtlCorner 7 3 7 3" xfId="9188" xr:uid="{8E69B9DA-2847-44B8-9D38-5160F9B70A15}"/>
    <cellStyle name="RISKtlCorner 7 3 8" xfId="2859" xr:uid="{345F00BD-0355-4914-9910-8F48AACFF12D}"/>
    <cellStyle name="RISKtlCorner 7 3 8 2" xfId="6229" xr:uid="{82ECE02F-F089-4423-AEA9-E501BB65C163}"/>
    <cellStyle name="RISKtlCorner 7 3 8 3" xfId="9418" xr:uid="{34E055A6-A1C6-4B72-A28A-C0443841625C}"/>
    <cellStyle name="RISKtlCorner 7 3 9" xfId="3064" xr:uid="{B9E1B19C-8F81-425E-9CFA-D53F9028A941}"/>
    <cellStyle name="RISKtlCorner 7 3 9 2" xfId="6462" xr:uid="{D5FD42DF-2611-45E5-80D2-513B6A2359B3}"/>
    <cellStyle name="RISKtlCorner 7 3 9 3" xfId="9648" xr:uid="{B6597C5F-1FB3-48BC-AAF1-D934BA7A9FA2}"/>
    <cellStyle name="RISKtlCorner 7 4" xfId="1380" xr:uid="{00000000-0005-0000-0000-00006E070000}"/>
    <cellStyle name="RISKtlCorner 7 4 2" xfId="3491" xr:uid="{767167A5-C4EE-457C-BE51-8D6618103686}"/>
    <cellStyle name="RISKtlCorner 7 4 3" xfId="4797" xr:uid="{63640881-37AF-4A62-B7B2-48BC044047EC}"/>
    <cellStyle name="RISKtlCorner 7 4 4" xfId="8007" xr:uid="{C014E933-4B6C-4136-9092-322AD8FB154B}"/>
    <cellStyle name="RISKtlCorner 7 5" xfId="1629" xr:uid="{00000000-0005-0000-0000-00006F070000}"/>
    <cellStyle name="RISKtlCorner 7 5 2" xfId="3730" xr:uid="{D7BDD32D-4DE8-40CC-A3BC-B081FF5C8805}"/>
    <cellStyle name="RISKtlCorner 7 5 3" xfId="5038" xr:uid="{61FCA7B0-5942-4ECE-BD56-A44CFA834BB4}"/>
    <cellStyle name="RISKtlCorner 7 5 4" xfId="8245" xr:uid="{9CEB4EB8-3696-4140-B7E2-9C25A7DFFC21}"/>
    <cellStyle name="RISKtlCorner 7 6" xfId="1886" xr:uid="{00000000-0005-0000-0000-000070070000}"/>
    <cellStyle name="RISKtlCorner 7 6 2" xfId="3986" xr:uid="{73CE25E5-71F2-48A2-A338-2122627C5C63}"/>
    <cellStyle name="RISKtlCorner 7 6 3" xfId="5290" xr:uid="{873C675B-D4EE-46B0-9E6D-B15A61F31DA6}"/>
    <cellStyle name="RISKtlCorner 7 6 4" xfId="8484" xr:uid="{9D00E0D0-C929-4806-9A9B-C480EDDD1EAC}"/>
    <cellStyle name="RISKtlCorner 7 7" xfId="2140" xr:uid="{00000000-0005-0000-0000-000071070000}"/>
    <cellStyle name="RISKtlCorner 7 7 2" xfId="4230" xr:uid="{811387C5-A5C2-4397-B78D-6473A3024774}"/>
    <cellStyle name="RISKtlCorner 7 7 3" xfId="5528" xr:uid="{DA43F611-6F79-4C86-8A20-068F1D420F71}"/>
    <cellStyle name="RISKtlCorner 7 7 4" xfId="8720" xr:uid="{314A43B5-C793-4F5F-97DD-E3438444966B}"/>
    <cellStyle name="RISKtlCorner 7 8" xfId="2382" xr:uid="{4137B720-3CFB-4AB2-9140-8C1B656DD013}"/>
    <cellStyle name="RISKtlCorner 7 8 2" xfId="5764" xr:uid="{CCE4B398-EFF6-4AAB-96F3-002559F1B2C8}"/>
    <cellStyle name="RISKtlCorner 7 8 3" xfId="8956" xr:uid="{9DD64667-BD31-4603-8381-B9260105246D}"/>
    <cellStyle name="RISKtlCorner 7 9" xfId="2618" xr:uid="{97CD116A-3EEC-47C4-8121-0309C1772C53}"/>
    <cellStyle name="RISKtlCorner 7 9 2" xfId="5994" xr:uid="{E925282E-20A7-4BD7-ABC3-0BC1F0FE12B4}"/>
    <cellStyle name="RISKtlCorner 7 9 3" xfId="9186" xr:uid="{EBE5997E-1AD1-48D8-BBEC-90AF938CFCC6}"/>
    <cellStyle name="RISKtlCorner 8" xfId="1124" xr:uid="{00000000-0005-0000-0000-000072070000}"/>
    <cellStyle name="RISKtlCorner 8 10" xfId="3307" xr:uid="{DC2F8A1F-E08A-4EA2-946E-7612D2D18CE0}"/>
    <cellStyle name="RISKtlCorner 8 10 2" xfId="6726" xr:uid="{97F97DA7-C336-4F01-8E7C-15F3D54FB7BF}"/>
    <cellStyle name="RISKtlCorner 8 10 3" xfId="9891" xr:uid="{9F590586-03AE-45BF-8E91-E76C0A8CB83A}"/>
    <cellStyle name="RISKtlCorner 8 11" xfId="6988" xr:uid="{431E2B22-7926-4612-B7A1-A15617673AAF}"/>
    <cellStyle name="RISKtlCorner 8 11 2" xfId="10133" xr:uid="{FEB58247-1807-4500-A0F4-6AD521F19CEF}"/>
    <cellStyle name="RISKtlCorner 8 12" xfId="7237" xr:uid="{2F56D2B9-CFDE-4F04-B0BA-4BD97A5334AA}"/>
    <cellStyle name="RISKtlCorner 8 12 2" xfId="10376" xr:uid="{4F4FA9FB-8DBC-4ACA-AD9D-84090719DAD6}"/>
    <cellStyle name="RISKtlCorner 8 13" xfId="7591" xr:uid="{D83962FD-D749-45B3-9FE8-329B48B28ECA}"/>
    <cellStyle name="RISKtlCorner 8 13 2" xfId="10725" xr:uid="{718B3A51-D425-4379-9F05-CF1EF52EDF5C}"/>
    <cellStyle name="RISKtlCorner 8 14" xfId="7729" xr:uid="{4939435E-9280-443A-ADA3-9640672092FD}"/>
    <cellStyle name="RISKtlCorner 8 14 2" xfId="10862" xr:uid="{7A46208F-3168-4E4F-A244-0886848E53B5}"/>
    <cellStyle name="RISKtlCorner 8 15" xfId="4613" xr:uid="{4AADFFFC-C07F-4D15-B64E-83CBA4DFC387}"/>
    <cellStyle name="RISKtlCorner 8 16" xfId="7833" xr:uid="{07F13E31-E652-4922-BE57-6D1E67317D40}"/>
    <cellStyle name="RISKtlCorner 8 17" xfId="11115" xr:uid="{ECC3838D-11AC-4B7A-8839-E5BA5D9C30CF}"/>
    <cellStyle name="RISKtlCorner 8 18" xfId="11531" xr:uid="{21BD4318-2D38-4E6A-B923-A9C06FD5811C}"/>
    <cellStyle name="RISKtlCorner 8 19" xfId="11680" xr:uid="{03B8CB5A-5F64-4ED7-8E7C-3B23920D9143}"/>
    <cellStyle name="RISKtlCorner 8 2" xfId="1383" xr:uid="{00000000-0005-0000-0000-000073070000}"/>
    <cellStyle name="RISKtlCorner 8 2 2" xfId="3494" xr:uid="{BE82B6D0-AD65-4BFE-B1BE-0DF628456F8C}"/>
    <cellStyle name="RISKtlCorner 8 2 3" xfId="4800" xr:uid="{DFC5E0E1-B60C-4B33-94DB-B4BAF05D8C51}"/>
    <cellStyle name="RISKtlCorner 8 2 4" xfId="8010" xr:uid="{CF59923A-40DE-4FEF-90E0-6649C24F4731}"/>
    <cellStyle name="RISKtlCorner 8 20" xfId="11784" xr:uid="{B49D8CE1-F75B-4411-8B24-46C531D6A0BA}"/>
    <cellStyle name="RISKtlCorner 8 21" xfId="11974" xr:uid="{759793DD-BE92-4ED0-B93B-4DC9E37235B1}"/>
    <cellStyle name="RISKtlCorner 8 22" xfId="12226" xr:uid="{94895BFB-8E62-413E-8265-E155E3AB2FEF}"/>
    <cellStyle name="RISKtlCorner 8 23" xfId="12668" xr:uid="{7DDD999F-520B-4501-A999-344ADA21F019}"/>
    <cellStyle name="RISKtlCorner 8 24" xfId="12833" xr:uid="{60E302CB-8273-4F7B-B3CD-D2135C5552E5}"/>
    <cellStyle name="RISKtlCorner 8 25" xfId="12974" xr:uid="{EC7876DB-AB1B-45DD-8F4E-E7E2D7B7B61C}"/>
    <cellStyle name="RISKtlCorner 8 26" xfId="13336" xr:uid="{2CA170D8-03B0-4A68-8417-6F56E96A6B93}"/>
    <cellStyle name="RISKtlCorner 8 27" xfId="13465" xr:uid="{2A559138-BDE7-4548-A9DD-66C0BBB1638F}"/>
    <cellStyle name="RISKtlCorner 8 3" xfId="1632" xr:uid="{00000000-0005-0000-0000-000074070000}"/>
    <cellStyle name="RISKtlCorner 8 3 2" xfId="3733" xr:uid="{324931C6-4F99-42FD-93BD-FE8891E39592}"/>
    <cellStyle name="RISKtlCorner 8 3 3" xfId="5041" xr:uid="{32B12C10-E0F2-4323-B4B5-B42A21E007F3}"/>
    <cellStyle name="RISKtlCorner 8 3 4" xfId="8248" xr:uid="{5DCA6AD0-5EBD-4807-B9A2-564107F4A10A}"/>
    <cellStyle name="RISKtlCorner 8 4" xfId="1889" xr:uid="{00000000-0005-0000-0000-000075070000}"/>
    <cellStyle name="RISKtlCorner 8 4 2" xfId="3989" xr:uid="{ABF276B7-1E99-4D70-96C5-D0CE87E1ECF6}"/>
    <cellStyle name="RISKtlCorner 8 4 3" xfId="5293" xr:uid="{000A60B6-7942-43C1-8F66-96B8E531E9EF}"/>
    <cellStyle name="RISKtlCorner 8 4 4" xfId="8487" xr:uid="{5B033519-96A7-4A5C-AC2F-D26D66103024}"/>
    <cellStyle name="RISKtlCorner 8 5" xfId="2143" xr:uid="{00000000-0005-0000-0000-000076070000}"/>
    <cellStyle name="RISKtlCorner 8 5 2" xfId="4233" xr:uid="{3E7653FE-3848-40DB-A73B-86E08E325012}"/>
    <cellStyle name="RISKtlCorner 8 5 3" xfId="5531" xr:uid="{7E3D6833-F029-4DDC-AAB5-EBD580E06644}"/>
    <cellStyle name="RISKtlCorner 8 5 4" xfId="8723" xr:uid="{7C211357-2BFE-413A-8487-7BCADFCB92F4}"/>
    <cellStyle name="RISKtlCorner 8 6" xfId="2385" xr:uid="{4A3E9413-CA75-4113-B679-E5A6427959DE}"/>
    <cellStyle name="RISKtlCorner 8 6 2" xfId="5767" xr:uid="{04D672C8-0269-4696-98FE-81F92885A360}"/>
    <cellStyle name="RISKtlCorner 8 6 3" xfId="8959" xr:uid="{C8B48524-1BF6-40F1-B59B-766A31102C04}"/>
    <cellStyle name="RISKtlCorner 8 7" xfId="2621" xr:uid="{38EBC50C-D623-418B-80BB-F4151B5F077F}"/>
    <cellStyle name="RISKtlCorner 8 7 2" xfId="5997" xr:uid="{6440CE32-472E-4FF1-A4D6-406C4A151335}"/>
    <cellStyle name="RISKtlCorner 8 7 3" xfId="9189" xr:uid="{2B2B5821-4FCE-478B-AC16-4719ABBBAFAB}"/>
    <cellStyle name="RISKtlCorner 8 8" xfId="2860" xr:uid="{87FDA72D-0F4D-4B03-8C33-6763E34268CD}"/>
    <cellStyle name="RISKtlCorner 8 8 2" xfId="6230" xr:uid="{5222E34E-4FA9-47A8-AE09-063939C82204}"/>
    <cellStyle name="RISKtlCorner 8 8 3" xfId="9419" xr:uid="{1DC83C9B-A04D-446F-B3A8-769F3867CD4D}"/>
    <cellStyle name="RISKtlCorner 8 9" xfId="3065" xr:uid="{B24EDE5F-9617-4F9E-A0A0-6A1BAC54FFD1}"/>
    <cellStyle name="RISKtlCorner 8 9 2" xfId="6463" xr:uid="{A9EA4855-D2BB-449D-B885-46C75A013587}"/>
    <cellStyle name="RISKtlCorner 8 9 3" xfId="9649" xr:uid="{9D02F6AE-93E3-4CAE-BBBF-397F2655FA1E}"/>
    <cellStyle name="RISKtlCorner 9" xfId="1369" xr:uid="{00000000-0005-0000-0000-000077070000}"/>
    <cellStyle name="RISKtlCorner 9 2" xfId="3480" xr:uid="{2A16194B-AA86-4203-A32E-359D9364205A}"/>
    <cellStyle name="RISKtlCorner 9 3" xfId="4786" xr:uid="{889D6503-0EEB-477C-A0E1-A61B5074EC55}"/>
    <cellStyle name="RISKtlCorner 9 4" xfId="7996" xr:uid="{2BD57BF7-424A-4A99-835B-86AD16E48D6D}"/>
    <cellStyle name="RISKtopEdge" xfId="1125" xr:uid="{00000000-0005-0000-0000-000078070000}"/>
    <cellStyle name="RISKtopEdge 10" xfId="1633" xr:uid="{00000000-0005-0000-0000-000079070000}"/>
    <cellStyle name="RISKtopEdge 10 2" xfId="3734" xr:uid="{E7B3B4BE-F1B5-4E7C-9595-5B9A0D2EFD7C}"/>
    <cellStyle name="RISKtopEdge 10 3" xfId="5042" xr:uid="{8CE362FB-708A-4C9A-AD5C-467FF59E9C41}"/>
    <cellStyle name="RISKtopEdge 10 4" xfId="8249" xr:uid="{6C22B683-EF1D-422F-BC51-5740DA0957F9}"/>
    <cellStyle name="RISKtopEdge 11" xfId="1890" xr:uid="{00000000-0005-0000-0000-00007A070000}"/>
    <cellStyle name="RISKtopEdge 11 2" xfId="3990" xr:uid="{0404CE75-5F75-4A35-8C54-6245601E684F}"/>
    <cellStyle name="RISKtopEdge 11 3" xfId="5294" xr:uid="{3F8DAF07-917E-4259-88DE-8964F4B8A5F4}"/>
    <cellStyle name="RISKtopEdge 11 4" xfId="8488" xr:uid="{3D70E4F0-2197-4961-9910-14C6EFC39658}"/>
    <cellStyle name="RISKtopEdge 12" xfId="2144" xr:uid="{00000000-0005-0000-0000-00007B070000}"/>
    <cellStyle name="RISKtopEdge 12 2" xfId="4234" xr:uid="{955EACF5-5ECC-47B6-B8B4-C85E6DE39644}"/>
    <cellStyle name="RISKtopEdge 12 3" xfId="5532" xr:uid="{2C5663EC-18F8-4412-8E03-FABC06828C39}"/>
    <cellStyle name="RISKtopEdge 12 4" xfId="8724" xr:uid="{AE4E29C1-5CEE-4C5C-9361-19200518E175}"/>
    <cellStyle name="RISKtopEdge 13" xfId="2386" xr:uid="{54C0DFD9-E737-4FB7-BAF3-9EE712C7B061}"/>
    <cellStyle name="RISKtopEdge 13 2" xfId="5768" xr:uid="{3369B049-34D4-4E56-8755-803E27C666EC}"/>
    <cellStyle name="RISKtopEdge 13 3" xfId="8960" xr:uid="{033C23DC-F1EE-4B4B-84D5-C9A72AF95F73}"/>
    <cellStyle name="RISKtopEdge 14" xfId="2622" xr:uid="{A6245743-82A5-4744-AD02-644D9CBBEE1C}"/>
    <cellStyle name="RISKtopEdge 14 2" xfId="5998" xr:uid="{10E6C141-7BBE-46D1-B46F-786F3BC3886A}"/>
    <cellStyle name="RISKtopEdge 14 3" xfId="9190" xr:uid="{34465F94-66B7-4351-9D46-CE2AC183FC58}"/>
    <cellStyle name="RISKtopEdge 15" xfId="2861" xr:uid="{A9D6969A-9FAC-43CC-A3F3-08E710407F2C}"/>
    <cellStyle name="RISKtopEdge 15 2" xfId="6231" xr:uid="{C9BFF260-4D14-428A-8908-DB00367187C4}"/>
    <cellStyle name="RISKtopEdge 15 3" xfId="9420" xr:uid="{4AC09A26-2432-4651-B569-100162845765}"/>
    <cellStyle name="RISKtopEdge 16" xfId="3066" xr:uid="{DB6D95ED-E34A-4215-A624-15233EC68DE1}"/>
    <cellStyle name="RISKtopEdge 16 2" xfId="6464" xr:uid="{612C300B-BEF7-46A3-96F8-F933D964277E}"/>
    <cellStyle name="RISKtopEdge 16 3" xfId="9650" xr:uid="{DAF71737-5AB8-48DC-8F0D-9D71B91B75B2}"/>
    <cellStyle name="RISKtopEdge 17" xfId="3308" xr:uid="{EE62AD8A-D6A7-49B2-86B9-9764B11E3C0D}"/>
    <cellStyle name="RISKtopEdge 17 2" xfId="6727" xr:uid="{128D8B19-A02C-4313-B276-A9B5BA0EA4CF}"/>
    <cellStyle name="RISKtopEdge 17 3" xfId="9892" xr:uid="{4BC3A6E7-6DA6-46E5-9DB7-65D25755F2B0}"/>
    <cellStyle name="RISKtopEdge 18" xfId="6989" xr:uid="{A1EB6D67-02F6-4BD0-8CBE-0D90A627CE8F}"/>
    <cellStyle name="RISKtopEdge 18 2" xfId="10134" xr:uid="{FC69D6DC-5B80-4D50-A8DF-0FC30D5D2352}"/>
    <cellStyle name="RISKtopEdge 19" xfId="7238" xr:uid="{918BD8D7-F4EC-4BE1-A79C-B322FD138299}"/>
    <cellStyle name="RISKtopEdge 19 2" xfId="10377" xr:uid="{09046DD1-1765-427D-8C5C-27D9C1BD47DE}"/>
    <cellStyle name="RISKtopEdge 2" xfId="1126" xr:uid="{00000000-0005-0000-0000-00007C070000}"/>
    <cellStyle name="RISKtopEdge 2 10" xfId="3067" xr:uid="{5FB04392-16B0-4D9C-B74B-4BCE0D161833}"/>
    <cellStyle name="RISKtopEdge 2 10 2" xfId="6465" xr:uid="{89A7D3E6-E7AB-42A6-942D-AC588EF56B0A}"/>
    <cellStyle name="RISKtopEdge 2 10 3" xfId="9651" xr:uid="{C4C62B1A-74A1-44F1-AB9F-CE2623659523}"/>
    <cellStyle name="RISKtopEdge 2 11" xfId="3309" xr:uid="{129F06E2-D8C3-4FFF-BEDD-847B53C84442}"/>
    <cellStyle name="RISKtopEdge 2 11 2" xfId="6728" xr:uid="{DBF5A4C2-9E8B-41CD-9AE8-21878AFCA4AA}"/>
    <cellStyle name="RISKtopEdge 2 11 3" xfId="9893" xr:uid="{C0F769D4-B304-4035-9E85-BA9283CE77B2}"/>
    <cellStyle name="RISKtopEdge 2 12" xfId="6990" xr:uid="{B2165948-33D7-4114-ABBB-C7985A62F181}"/>
    <cellStyle name="RISKtopEdge 2 12 2" xfId="10135" xr:uid="{07A74C12-13B2-4769-8120-FA80AB9582AE}"/>
    <cellStyle name="RISKtopEdge 2 13" xfId="7239" xr:uid="{50DD041E-C270-4169-B9B7-AB57CDAF74A6}"/>
    <cellStyle name="RISKtopEdge 2 13 2" xfId="10378" xr:uid="{A98864E2-DA13-4A65-B332-D65A99BCCE83}"/>
    <cellStyle name="RISKtopEdge 2 14" xfId="7593" xr:uid="{DAC9D7CE-7286-42AB-BC7E-A47E0BE7F9C3}"/>
    <cellStyle name="RISKtopEdge 2 14 2" xfId="10727" xr:uid="{4116A627-7E06-4D4B-8E09-638F57D1F556}"/>
    <cellStyle name="RISKtopEdge 2 15" xfId="7731" xr:uid="{02966395-94CE-4EBD-AE93-2726DF35013E}"/>
    <cellStyle name="RISKtopEdge 2 15 2" xfId="10864" xr:uid="{DE0B8E2F-7EF4-403B-AFE1-D7B5C3B2E5EE}"/>
    <cellStyle name="RISKtopEdge 2 16" xfId="4615" xr:uid="{91683A1E-4D5D-4F85-BD50-B6E06141A8A4}"/>
    <cellStyle name="RISKtopEdge 2 17" xfId="7835" xr:uid="{DE19B04F-04F1-42B7-B10D-28B136F13FD6}"/>
    <cellStyle name="RISKtopEdge 2 18" xfId="11117" xr:uid="{99D538BF-B665-4591-B42F-8117AFE1CBA1}"/>
    <cellStyle name="RISKtopEdge 2 19" xfId="11533" xr:uid="{DA0A759D-C719-45DC-AC8F-EDC9557039FF}"/>
    <cellStyle name="RISKtopEdge 2 2" xfId="1127" xr:uid="{00000000-0005-0000-0000-00007D070000}"/>
    <cellStyle name="RISKtopEdge 2 2 10" xfId="3310" xr:uid="{8B746E87-D442-4A25-9888-2C46652141E5}"/>
    <cellStyle name="RISKtopEdge 2 2 10 2" xfId="6729" xr:uid="{033DA7E1-B57D-4454-A096-CBA9A6510912}"/>
    <cellStyle name="RISKtopEdge 2 2 10 3" xfId="9894" xr:uid="{0A14A4B8-80C1-441C-822C-5C055959757F}"/>
    <cellStyle name="RISKtopEdge 2 2 11" xfId="6991" xr:uid="{E8551F57-42A6-4E77-930D-0FA4D50C9F82}"/>
    <cellStyle name="RISKtopEdge 2 2 11 2" xfId="10136" xr:uid="{22CD77DC-C134-4C3A-B7C5-00095263E459}"/>
    <cellStyle name="RISKtopEdge 2 2 12" xfId="7240" xr:uid="{1B4A6B3C-5487-404F-9D93-ADA25275E385}"/>
    <cellStyle name="RISKtopEdge 2 2 12 2" xfId="10379" xr:uid="{5A01F62C-E359-478A-96A1-6940FB92F254}"/>
    <cellStyle name="RISKtopEdge 2 2 13" xfId="7594" xr:uid="{FA3649EE-1AEC-436B-AD39-B9F26C22E9BF}"/>
    <cellStyle name="RISKtopEdge 2 2 13 2" xfId="10728" xr:uid="{2F8593D3-F7EC-4DD0-928C-D23CB265CCF6}"/>
    <cellStyle name="RISKtopEdge 2 2 14" xfId="7732" xr:uid="{C7C71DBF-1B58-4649-85E4-17836CDAD6E7}"/>
    <cellStyle name="RISKtopEdge 2 2 14 2" xfId="10865" xr:uid="{404AE9D2-62A4-4B2F-A980-7246ED3AA20F}"/>
    <cellStyle name="RISKtopEdge 2 2 15" xfId="4616" xr:uid="{EE3CA710-8196-4555-BC50-029EC6851B3F}"/>
    <cellStyle name="RISKtopEdge 2 2 16" xfId="7836" xr:uid="{3D2372B4-7B91-4304-880E-18F62BC4488A}"/>
    <cellStyle name="RISKtopEdge 2 2 17" xfId="11118" xr:uid="{3B778301-156B-4E20-A0F8-F24AC71721CB}"/>
    <cellStyle name="RISKtopEdge 2 2 18" xfId="11534" xr:uid="{BBE14102-4F62-4A0F-8001-5DCCEF1193DE}"/>
    <cellStyle name="RISKtopEdge 2 2 19" xfId="11683" xr:uid="{ADCAB579-A574-4548-B6E9-1457144606C2}"/>
    <cellStyle name="RISKtopEdge 2 2 2" xfId="1386" xr:uid="{00000000-0005-0000-0000-00007E070000}"/>
    <cellStyle name="RISKtopEdge 2 2 2 2" xfId="3497" xr:uid="{7CFE72D5-FF00-41FC-83B9-2ED0ADFE339A}"/>
    <cellStyle name="RISKtopEdge 2 2 2 3" xfId="4803" xr:uid="{0B9EA7ED-D751-4461-812B-F30E1F37D5B5}"/>
    <cellStyle name="RISKtopEdge 2 2 2 4" xfId="8013" xr:uid="{93603F4E-702A-4F7D-BD48-5E123607C47C}"/>
    <cellStyle name="RISKtopEdge 2 2 20" xfId="11787" xr:uid="{94CF2728-AB9D-4493-8529-8826D523220C}"/>
    <cellStyle name="RISKtopEdge 2 2 21" xfId="11977" xr:uid="{6F2AE6FE-3500-4A67-8C38-2C33A1F6805E}"/>
    <cellStyle name="RISKtopEdge 2 2 22" xfId="12229" xr:uid="{042EA1E0-C381-445E-BC02-1B6A021FCBCA}"/>
    <cellStyle name="RISKtopEdge 2 2 23" xfId="12671" xr:uid="{8800CDC7-E1DA-4B64-A04A-C16DB5651AD9}"/>
    <cellStyle name="RISKtopEdge 2 2 24" xfId="12836" xr:uid="{1218805D-54F6-4768-8603-084064A43234}"/>
    <cellStyle name="RISKtopEdge 2 2 25" xfId="12977" xr:uid="{7C0866F4-572E-487F-9D17-E388B0F94A42}"/>
    <cellStyle name="RISKtopEdge 2 2 26" xfId="13339" xr:uid="{0B5F861C-1135-483D-8BC9-3FBFC0B58489}"/>
    <cellStyle name="RISKtopEdge 2 2 27" xfId="13468" xr:uid="{99233BBA-AF4E-4101-B3E0-C35B598E465F}"/>
    <cellStyle name="RISKtopEdge 2 2 3" xfId="1635" xr:uid="{00000000-0005-0000-0000-00007F070000}"/>
    <cellStyle name="RISKtopEdge 2 2 3 2" xfId="3736" xr:uid="{A8CDB391-558C-483C-9CCC-45CF1C5CB19A}"/>
    <cellStyle name="RISKtopEdge 2 2 3 3" xfId="5044" xr:uid="{AFD0004A-44C0-48F1-B63C-2D1CFA201D02}"/>
    <cellStyle name="RISKtopEdge 2 2 3 4" xfId="8251" xr:uid="{47504703-B7F3-4919-BCC3-1BD3B12DF588}"/>
    <cellStyle name="RISKtopEdge 2 2 4" xfId="1892" xr:uid="{00000000-0005-0000-0000-000080070000}"/>
    <cellStyle name="RISKtopEdge 2 2 4 2" xfId="3992" xr:uid="{3C31C671-51FB-450A-AE16-1ACEF9A6D100}"/>
    <cellStyle name="RISKtopEdge 2 2 4 3" xfId="5296" xr:uid="{7C208A16-E4A0-41DD-A0B1-46716C2A380D}"/>
    <cellStyle name="RISKtopEdge 2 2 4 4" xfId="8490" xr:uid="{2A24AF34-2CE8-40FB-9CD4-CBC3B991011A}"/>
    <cellStyle name="RISKtopEdge 2 2 5" xfId="2146" xr:uid="{00000000-0005-0000-0000-000081070000}"/>
    <cellStyle name="RISKtopEdge 2 2 5 2" xfId="4236" xr:uid="{C8BD5A9C-4B3D-4270-A76D-475CB9EAFC92}"/>
    <cellStyle name="RISKtopEdge 2 2 5 3" xfId="5534" xr:uid="{CE46B74C-1E29-48E6-B1D3-FC2B3C19D37D}"/>
    <cellStyle name="RISKtopEdge 2 2 5 4" xfId="8726" xr:uid="{3D1470FB-C496-4D24-9DA5-29B6FF34AA36}"/>
    <cellStyle name="RISKtopEdge 2 2 6" xfId="2388" xr:uid="{7D761236-B11F-4496-B49C-CE0F0A68B78E}"/>
    <cellStyle name="RISKtopEdge 2 2 6 2" xfId="5770" xr:uid="{2CB6D9DB-37AE-460A-99F6-6F79DA27EE84}"/>
    <cellStyle name="RISKtopEdge 2 2 6 3" xfId="8962" xr:uid="{691997E7-3D4C-4FFC-A6D0-F23329D87304}"/>
    <cellStyle name="RISKtopEdge 2 2 7" xfId="2624" xr:uid="{F1664F27-5C57-4560-B650-5B6A386C9A2B}"/>
    <cellStyle name="RISKtopEdge 2 2 7 2" xfId="6000" xr:uid="{3AF644FE-956F-4C73-B89A-9F06DBB2B59D}"/>
    <cellStyle name="RISKtopEdge 2 2 7 3" xfId="9192" xr:uid="{26AC4F13-C9C4-4A48-B7C3-10F5E4495881}"/>
    <cellStyle name="RISKtopEdge 2 2 8" xfId="2863" xr:uid="{00E13E2B-B15B-43FF-900D-DBF079BA2474}"/>
    <cellStyle name="RISKtopEdge 2 2 8 2" xfId="6233" xr:uid="{80ADF5D6-24F0-4C79-AFD9-A3300503A221}"/>
    <cellStyle name="RISKtopEdge 2 2 8 3" xfId="9422" xr:uid="{DE2D5127-E7C3-4302-8C64-36B74605904A}"/>
    <cellStyle name="RISKtopEdge 2 2 9" xfId="3068" xr:uid="{E6D810F8-7611-4CC1-A017-038A70C5A923}"/>
    <cellStyle name="RISKtopEdge 2 2 9 2" xfId="6466" xr:uid="{93EE35CC-B7F0-4071-BD58-FFB52B347EC1}"/>
    <cellStyle name="RISKtopEdge 2 2 9 3" xfId="9652" xr:uid="{56DF1F47-1539-4816-A347-5F287CDB6ED8}"/>
    <cellStyle name="RISKtopEdge 2 20" xfId="11682" xr:uid="{F514CAE9-32DF-495B-9A93-E304B20E8AD3}"/>
    <cellStyle name="RISKtopEdge 2 21" xfId="11786" xr:uid="{E04C1587-2348-4B9E-931B-E71BE1469482}"/>
    <cellStyle name="RISKtopEdge 2 22" xfId="11976" xr:uid="{7CC92ED5-9D11-4B7B-A9D3-D5C2F02A2086}"/>
    <cellStyle name="RISKtopEdge 2 23" xfId="12228" xr:uid="{DFF4B52B-0F00-4195-946E-9481E7166460}"/>
    <cellStyle name="RISKtopEdge 2 24" xfId="12670" xr:uid="{A273080D-7EB3-4CAA-99BC-453CEFEBBD8A}"/>
    <cellStyle name="RISKtopEdge 2 25" xfId="12835" xr:uid="{85BA2DC6-0265-4E67-BA1B-62735E07BCE5}"/>
    <cellStyle name="RISKtopEdge 2 26" xfId="12976" xr:uid="{9555B9D0-4AFB-401D-A267-482AB4DB5685}"/>
    <cellStyle name="RISKtopEdge 2 27" xfId="13338" xr:uid="{D6A545D1-42A9-429B-AB12-9C24138BF81F}"/>
    <cellStyle name="RISKtopEdge 2 28" xfId="13467" xr:uid="{E18A29B0-73CF-477A-880C-DE37F90E2A2A}"/>
    <cellStyle name="RISKtopEdge 2 3" xfId="1385" xr:uid="{00000000-0005-0000-0000-000082070000}"/>
    <cellStyle name="RISKtopEdge 2 3 2" xfId="3496" xr:uid="{15E9D48A-A953-438C-B7BB-3B4180E3FFA9}"/>
    <cellStyle name="RISKtopEdge 2 3 3" xfId="4802" xr:uid="{1F2992A6-9385-4E4A-8C96-5E2131E18700}"/>
    <cellStyle name="RISKtopEdge 2 3 4" xfId="8012" xr:uid="{A905388D-9FDB-4FF7-B928-368C001ECBAB}"/>
    <cellStyle name="RISKtopEdge 2 4" xfId="1634" xr:uid="{00000000-0005-0000-0000-000083070000}"/>
    <cellStyle name="RISKtopEdge 2 4 2" xfId="3735" xr:uid="{EE973012-93B0-4AE3-B7EC-8273ABBBDF0A}"/>
    <cellStyle name="RISKtopEdge 2 4 3" xfId="5043" xr:uid="{AF2D642C-05E5-4744-A96D-8899358F98C9}"/>
    <cellStyle name="RISKtopEdge 2 4 4" xfId="8250" xr:uid="{26F45FFF-32B4-45A1-8459-3B42A050E92A}"/>
    <cellStyle name="RISKtopEdge 2 5" xfId="1891" xr:uid="{00000000-0005-0000-0000-000084070000}"/>
    <cellStyle name="RISKtopEdge 2 5 2" xfId="3991" xr:uid="{10DC517F-CD56-4001-A891-33AD6A835FCA}"/>
    <cellStyle name="RISKtopEdge 2 5 3" xfId="5295" xr:uid="{AA8134F8-FDF8-40EA-ABA0-373AB60B6349}"/>
    <cellStyle name="RISKtopEdge 2 5 4" xfId="8489" xr:uid="{478147CF-0168-4BE7-BF63-A13044765BDC}"/>
    <cellStyle name="RISKtopEdge 2 6" xfId="2145" xr:uid="{00000000-0005-0000-0000-000085070000}"/>
    <cellStyle name="RISKtopEdge 2 6 2" xfId="4235" xr:uid="{DFE8F353-E764-4539-B939-1641D7D009F0}"/>
    <cellStyle name="RISKtopEdge 2 6 3" xfId="5533" xr:uid="{65C904CE-738C-4F9A-9A7F-66FEC7D4688E}"/>
    <cellStyle name="RISKtopEdge 2 6 4" xfId="8725" xr:uid="{6A4CB6DA-6783-42A5-9B88-9628AE80258B}"/>
    <cellStyle name="RISKtopEdge 2 7" xfId="2387" xr:uid="{61A705AB-C7D4-4FE9-8DE2-CF912D9506AC}"/>
    <cellStyle name="RISKtopEdge 2 7 2" xfId="5769" xr:uid="{B5E00403-AD58-429C-A572-C14A181DC953}"/>
    <cellStyle name="RISKtopEdge 2 7 3" xfId="8961" xr:uid="{8264DE0A-1214-4D43-8388-73F7ABD8E757}"/>
    <cellStyle name="RISKtopEdge 2 8" xfId="2623" xr:uid="{2ADF4017-DF55-419D-9959-2FA9828C51E0}"/>
    <cellStyle name="RISKtopEdge 2 8 2" xfId="5999" xr:uid="{8320A0B6-FFB2-4696-BB9A-9FC41672629F}"/>
    <cellStyle name="RISKtopEdge 2 8 3" xfId="9191" xr:uid="{24FD37F0-ACA7-4331-8740-6E77537EFF71}"/>
    <cellStyle name="RISKtopEdge 2 9" xfId="2862" xr:uid="{66ECF957-180A-491B-A51D-3D7247265FD7}"/>
    <cellStyle name="RISKtopEdge 2 9 2" xfId="6232" xr:uid="{0A75FDE1-B0BE-4C1C-95EC-F741C7C6EB80}"/>
    <cellStyle name="RISKtopEdge 2 9 3" xfId="9421" xr:uid="{34CDAC25-48CB-4E5F-9EC2-B498FDB84138}"/>
    <cellStyle name="RISKtopEdge 20" xfId="7592" xr:uid="{A454E78A-0227-4ECD-86C4-E1097615CEFE}"/>
    <cellStyle name="RISKtopEdge 20 2" xfId="10726" xr:uid="{B82EBD39-C28B-4747-B738-1FF83EE6D231}"/>
    <cellStyle name="RISKtopEdge 21" xfId="7730" xr:uid="{DEDAC521-6792-4FF4-A792-D412DFD9C392}"/>
    <cellStyle name="RISKtopEdge 21 2" xfId="10863" xr:uid="{7D0B146A-9250-4DB9-A632-CB39D3A164F6}"/>
    <cellStyle name="RISKtopEdge 22" xfId="4614" xr:uid="{427AF66E-E8A1-4A99-A3B2-D2ACBEC98E6A}"/>
    <cellStyle name="RISKtopEdge 23" xfId="7834" xr:uid="{AEB25ED3-8ED0-4CAF-B222-A1429DF4D6E5}"/>
    <cellStyle name="RISKtopEdge 24" xfId="11116" xr:uid="{20861B07-6E30-4C1D-B0E4-2466BC01B6A1}"/>
    <cellStyle name="RISKtopEdge 25" xfId="11532" xr:uid="{89AA9299-75BF-4E30-9ED6-A45606F3C3BD}"/>
    <cellStyle name="RISKtopEdge 26" xfId="11681" xr:uid="{755A7BB0-996F-421A-85E2-4036D2880194}"/>
    <cellStyle name="RISKtopEdge 27" xfId="11785" xr:uid="{467AD51A-FB53-4FAF-B085-828737E36B5A}"/>
    <cellStyle name="RISKtopEdge 28" xfId="11975" xr:uid="{E3CB9803-AF40-4F5C-9F3D-543C312150AD}"/>
    <cellStyle name="RISKtopEdge 29" xfId="12227" xr:uid="{BE206D4C-0EB5-4334-A793-249BB4C91A02}"/>
    <cellStyle name="RISKtopEdge 3" xfId="1128" xr:uid="{00000000-0005-0000-0000-000086070000}"/>
    <cellStyle name="RISKtopEdge 3 10" xfId="3069" xr:uid="{FC4D81B1-A725-476E-BFC3-71BF31D2CA9E}"/>
    <cellStyle name="RISKtopEdge 3 10 2" xfId="6467" xr:uid="{EE9AFE64-2583-43F8-80A7-66ADB0461851}"/>
    <cellStyle name="RISKtopEdge 3 10 3" xfId="9653" xr:uid="{28B69D8F-5286-4225-AB1B-836224120D82}"/>
    <cellStyle name="RISKtopEdge 3 11" xfId="3311" xr:uid="{47C43CCA-F8E0-4A67-B120-115CD8A37925}"/>
    <cellStyle name="RISKtopEdge 3 11 2" xfId="6730" xr:uid="{AEABE47B-BD15-4B78-BED7-BCCEF2EC8462}"/>
    <cellStyle name="RISKtopEdge 3 11 3" xfId="9895" xr:uid="{EE4ADB19-18D7-44D8-9EB1-B3266E248D9D}"/>
    <cellStyle name="RISKtopEdge 3 12" xfId="6992" xr:uid="{93B02694-6E67-4AA7-BFA9-C56A7E5D5674}"/>
    <cellStyle name="RISKtopEdge 3 12 2" xfId="10137" xr:uid="{DF4E2767-134A-4ED8-8A4D-F77BFB8C9E7C}"/>
    <cellStyle name="RISKtopEdge 3 13" xfId="7241" xr:uid="{2EA3BAAB-4291-4A5A-82C3-2F2F8E501CBD}"/>
    <cellStyle name="RISKtopEdge 3 13 2" xfId="10380" xr:uid="{90B13E52-25AF-4B35-B516-06DBDB960657}"/>
    <cellStyle name="RISKtopEdge 3 14" xfId="7595" xr:uid="{4CABBBFD-5ED4-4B2F-84F9-41BC43DE7A90}"/>
    <cellStyle name="RISKtopEdge 3 14 2" xfId="10729" xr:uid="{57B915FB-586B-481D-9C59-BE19D764AF7A}"/>
    <cellStyle name="RISKtopEdge 3 15" xfId="7733" xr:uid="{4380C4BB-ED58-41D7-B528-95F6B7C1F009}"/>
    <cellStyle name="RISKtopEdge 3 15 2" xfId="10866" xr:uid="{67102D20-4AB4-4DAF-9411-7E504BFA2FEC}"/>
    <cellStyle name="RISKtopEdge 3 16" xfId="4617" xr:uid="{C1338EEF-000A-4808-BEDC-5E00633420F8}"/>
    <cellStyle name="RISKtopEdge 3 17" xfId="7837" xr:uid="{D896DECF-3F16-4979-B17C-3500498CBDF3}"/>
    <cellStyle name="RISKtopEdge 3 18" xfId="11119" xr:uid="{209C7F4B-E218-41ED-BED2-9DA2D099718E}"/>
    <cellStyle name="RISKtopEdge 3 19" xfId="11535" xr:uid="{0DC50485-DD37-41E9-8813-57FA0E327455}"/>
    <cellStyle name="RISKtopEdge 3 2" xfId="1129" xr:uid="{00000000-0005-0000-0000-000087070000}"/>
    <cellStyle name="RISKtopEdge 3 2 10" xfId="3312" xr:uid="{536725F8-A399-48D7-89C5-A5E5FDEBE33F}"/>
    <cellStyle name="RISKtopEdge 3 2 10 2" xfId="6731" xr:uid="{4E155B5E-56F0-4007-ADA8-B80ABD7DC1BA}"/>
    <cellStyle name="RISKtopEdge 3 2 10 3" xfId="9896" xr:uid="{729A94A3-A813-483B-B2B8-FD05F1CB5321}"/>
    <cellStyle name="RISKtopEdge 3 2 11" xfId="6993" xr:uid="{7DAB2628-10BA-4DAF-9587-ADBF17AE8442}"/>
    <cellStyle name="RISKtopEdge 3 2 11 2" xfId="10138" xr:uid="{CDB95EF1-7035-4A15-96E3-301966432FBE}"/>
    <cellStyle name="RISKtopEdge 3 2 12" xfId="7242" xr:uid="{5BF64F5C-3DD6-4932-A74A-C7396BDEA913}"/>
    <cellStyle name="RISKtopEdge 3 2 12 2" xfId="10381" xr:uid="{CFC88F19-8015-4401-8BBF-6AE6A125C623}"/>
    <cellStyle name="RISKtopEdge 3 2 13" xfId="7596" xr:uid="{1CE61BF0-72B3-439B-8493-32EC71A3F1F7}"/>
    <cellStyle name="RISKtopEdge 3 2 13 2" xfId="10730" xr:uid="{405D9B6F-4479-40D6-A619-606413E806E8}"/>
    <cellStyle name="RISKtopEdge 3 2 14" xfId="7734" xr:uid="{7CF4DFCE-BD94-4096-9673-08377420162A}"/>
    <cellStyle name="RISKtopEdge 3 2 14 2" xfId="10867" xr:uid="{D61A5F5D-50A8-4FB1-99D8-781ED12B6F29}"/>
    <cellStyle name="RISKtopEdge 3 2 15" xfId="4618" xr:uid="{D076CF3F-3131-4765-BD90-9D3B412F9D09}"/>
    <cellStyle name="RISKtopEdge 3 2 16" xfId="7838" xr:uid="{1AFBF673-E144-43F9-A8BC-51C46BB88C6B}"/>
    <cellStyle name="RISKtopEdge 3 2 17" xfId="11120" xr:uid="{BC4A0AB7-3BDA-4332-B2A0-C6372067B475}"/>
    <cellStyle name="RISKtopEdge 3 2 18" xfId="11536" xr:uid="{5B5D0560-955B-43A3-9DF0-44F9A28A764A}"/>
    <cellStyle name="RISKtopEdge 3 2 19" xfId="11685" xr:uid="{756DB41A-BBFF-4F98-96B7-4721012419FE}"/>
    <cellStyle name="RISKtopEdge 3 2 2" xfId="1388" xr:uid="{00000000-0005-0000-0000-000088070000}"/>
    <cellStyle name="RISKtopEdge 3 2 2 2" xfId="3499" xr:uid="{2698A9E7-C864-4318-A3B4-B9DC5DB498C2}"/>
    <cellStyle name="RISKtopEdge 3 2 2 3" xfId="4805" xr:uid="{00ECD111-EBD6-48B6-B0DB-9185E3143E5F}"/>
    <cellStyle name="RISKtopEdge 3 2 2 4" xfId="8015" xr:uid="{3A6C2F54-7817-4F42-B10A-AEE2DD7B8851}"/>
    <cellStyle name="RISKtopEdge 3 2 20" xfId="11789" xr:uid="{289F1394-E540-4AF1-9EA0-5C677B3BC483}"/>
    <cellStyle name="RISKtopEdge 3 2 21" xfId="11979" xr:uid="{71A304BF-B2FC-4E49-B41C-B6BA85B8B495}"/>
    <cellStyle name="RISKtopEdge 3 2 22" xfId="12231" xr:uid="{115003B6-E731-4427-B832-20C6B53F870C}"/>
    <cellStyle name="RISKtopEdge 3 2 23" xfId="12673" xr:uid="{B9C85882-3F82-4BB4-93C2-7B4D79119BB9}"/>
    <cellStyle name="RISKtopEdge 3 2 24" xfId="12838" xr:uid="{77B30711-EA46-4919-B817-22CE0C650A28}"/>
    <cellStyle name="RISKtopEdge 3 2 25" xfId="12979" xr:uid="{51CB4D15-7196-4D88-AA33-84B8DE3D66D1}"/>
    <cellStyle name="RISKtopEdge 3 2 26" xfId="13341" xr:uid="{BB3EDECE-2F10-494D-87E8-688A4DA401C8}"/>
    <cellStyle name="RISKtopEdge 3 2 27" xfId="13470" xr:uid="{2ECB2A60-F333-42F9-96E1-47443C8D8797}"/>
    <cellStyle name="RISKtopEdge 3 2 3" xfId="1637" xr:uid="{00000000-0005-0000-0000-000089070000}"/>
    <cellStyle name="RISKtopEdge 3 2 3 2" xfId="3738" xr:uid="{7AD921AF-8BB7-47B8-B315-311FCBB3E615}"/>
    <cellStyle name="RISKtopEdge 3 2 3 3" xfId="5046" xr:uid="{58EC5B7E-B1F0-4CAD-9ECA-4693643197A5}"/>
    <cellStyle name="RISKtopEdge 3 2 3 4" xfId="8253" xr:uid="{ABD118A0-968C-4BF8-A50C-C245D46431E0}"/>
    <cellStyle name="RISKtopEdge 3 2 4" xfId="1894" xr:uid="{00000000-0005-0000-0000-00008A070000}"/>
    <cellStyle name="RISKtopEdge 3 2 4 2" xfId="3994" xr:uid="{E964CA62-E763-4F49-A908-B18CA445BB57}"/>
    <cellStyle name="RISKtopEdge 3 2 4 3" xfId="5298" xr:uid="{90E10883-CF31-4FF4-A34E-5B61A752320D}"/>
    <cellStyle name="RISKtopEdge 3 2 4 4" xfId="8492" xr:uid="{1238BDDC-C234-40D9-A0E8-F92372513D5A}"/>
    <cellStyle name="RISKtopEdge 3 2 5" xfId="2148" xr:uid="{00000000-0005-0000-0000-00008B070000}"/>
    <cellStyle name="RISKtopEdge 3 2 5 2" xfId="4238" xr:uid="{611A62BF-AC59-4DD5-9BB8-B98EC2F19FF1}"/>
    <cellStyle name="RISKtopEdge 3 2 5 3" xfId="5536" xr:uid="{337B1B04-E814-4217-86C7-16DE7BF9B7CB}"/>
    <cellStyle name="RISKtopEdge 3 2 5 4" xfId="8728" xr:uid="{EF01B9CC-6201-4091-931E-F317192342A2}"/>
    <cellStyle name="RISKtopEdge 3 2 6" xfId="2390" xr:uid="{73F2CC07-772F-4F63-A401-819A164A4FFB}"/>
    <cellStyle name="RISKtopEdge 3 2 6 2" xfId="5772" xr:uid="{A68FA329-DA7E-4BD4-9CBD-311BCAD99074}"/>
    <cellStyle name="RISKtopEdge 3 2 6 3" xfId="8964" xr:uid="{7C8EB823-F4BA-41DE-99D1-9440F3787DAA}"/>
    <cellStyle name="RISKtopEdge 3 2 7" xfId="2626" xr:uid="{E0EE072D-76AC-4B73-B5E8-2A0B37E6C2B1}"/>
    <cellStyle name="RISKtopEdge 3 2 7 2" xfId="6002" xr:uid="{7027937F-800C-448B-83FF-FD30FB00E7C4}"/>
    <cellStyle name="RISKtopEdge 3 2 7 3" xfId="9194" xr:uid="{303A50A5-C837-4BAB-A64F-E08407275FE6}"/>
    <cellStyle name="RISKtopEdge 3 2 8" xfId="2865" xr:uid="{D98312DC-F02D-44D2-85C2-3AB8002C633B}"/>
    <cellStyle name="RISKtopEdge 3 2 8 2" xfId="6235" xr:uid="{D9765E68-53B5-4743-8491-400160EA0B7B}"/>
    <cellStyle name="RISKtopEdge 3 2 8 3" xfId="9424" xr:uid="{CE297705-127D-4A7D-B2D2-962B2DE336AC}"/>
    <cellStyle name="RISKtopEdge 3 2 9" xfId="3070" xr:uid="{6D43D57E-2845-4233-9F7A-BE44525E32EC}"/>
    <cellStyle name="RISKtopEdge 3 2 9 2" xfId="6468" xr:uid="{32AE947A-8FDA-4EB7-8C3E-E1F5E410F14E}"/>
    <cellStyle name="RISKtopEdge 3 2 9 3" xfId="9654" xr:uid="{93DA9CBF-1CD0-443E-8F7C-AAA4FD5F5A0B}"/>
    <cellStyle name="RISKtopEdge 3 20" xfId="11684" xr:uid="{28FDFD82-DC52-46F1-B61A-BB9DDA535174}"/>
    <cellStyle name="RISKtopEdge 3 21" xfId="11788" xr:uid="{00F81515-58D4-46BD-870C-8D6A5CC825A4}"/>
    <cellStyle name="RISKtopEdge 3 22" xfId="11978" xr:uid="{1CF9C9E0-676D-4B57-B5C9-B3397C911CFC}"/>
    <cellStyle name="RISKtopEdge 3 23" xfId="12230" xr:uid="{3B9E6D20-051B-4EFE-9A80-7C8BA55F180D}"/>
    <cellStyle name="RISKtopEdge 3 24" xfId="12672" xr:uid="{257E63BC-CBE7-4859-B641-A8BDF912EE43}"/>
    <cellStyle name="RISKtopEdge 3 25" xfId="12837" xr:uid="{3B190187-928F-448D-B3B6-0DF3FA9F79A2}"/>
    <cellStyle name="RISKtopEdge 3 26" xfId="12978" xr:uid="{6B35CDE7-DE16-4E4F-949C-B287AF11FC0B}"/>
    <cellStyle name="RISKtopEdge 3 27" xfId="13340" xr:uid="{FD31B077-FDAB-467D-BB67-86D14D960180}"/>
    <cellStyle name="RISKtopEdge 3 28" xfId="13469" xr:uid="{D8C7489D-71DC-4198-ACC1-384B3E9AC150}"/>
    <cellStyle name="RISKtopEdge 3 3" xfId="1387" xr:uid="{00000000-0005-0000-0000-00008C070000}"/>
    <cellStyle name="RISKtopEdge 3 3 2" xfId="3498" xr:uid="{1E73BA05-37B8-45FC-B9D4-E31EB8D4D528}"/>
    <cellStyle name="RISKtopEdge 3 3 3" xfId="4804" xr:uid="{B6866B62-5B02-4D2A-B333-0D487C6C991B}"/>
    <cellStyle name="RISKtopEdge 3 3 4" xfId="8014" xr:uid="{50C2C345-A650-4EC9-BE74-BD3A2C25F191}"/>
    <cellStyle name="RISKtopEdge 3 4" xfId="1636" xr:uid="{00000000-0005-0000-0000-00008D070000}"/>
    <cellStyle name="RISKtopEdge 3 4 2" xfId="3737" xr:uid="{6293C426-F65F-4F09-9A4B-85C3976E8D34}"/>
    <cellStyle name="RISKtopEdge 3 4 3" xfId="5045" xr:uid="{ADAB4A3B-8443-414F-B44E-6B70ABBDD690}"/>
    <cellStyle name="RISKtopEdge 3 4 4" xfId="8252" xr:uid="{5EF5E781-36E4-4613-84DC-90F75164E7BE}"/>
    <cellStyle name="RISKtopEdge 3 5" xfId="1893" xr:uid="{00000000-0005-0000-0000-00008E070000}"/>
    <cellStyle name="RISKtopEdge 3 5 2" xfId="3993" xr:uid="{96CA8A5B-4861-41F1-B075-8BCF4C76258C}"/>
    <cellStyle name="RISKtopEdge 3 5 3" xfId="5297" xr:uid="{EE599049-975E-4628-8154-0F878250087A}"/>
    <cellStyle name="RISKtopEdge 3 5 4" xfId="8491" xr:uid="{0A400E8C-8471-45F7-AA18-8E54BA3957F4}"/>
    <cellStyle name="RISKtopEdge 3 6" xfId="2147" xr:uid="{00000000-0005-0000-0000-00008F070000}"/>
    <cellStyle name="RISKtopEdge 3 6 2" xfId="4237" xr:uid="{F10F7D01-3A37-4334-8273-7DCDD8D9F604}"/>
    <cellStyle name="RISKtopEdge 3 6 3" xfId="5535" xr:uid="{FD92781F-61D9-4B24-8D3E-4376743C3E55}"/>
    <cellStyle name="RISKtopEdge 3 6 4" xfId="8727" xr:uid="{FC00F9DB-B0D3-497B-B265-0D3FBC37681F}"/>
    <cellStyle name="RISKtopEdge 3 7" xfId="2389" xr:uid="{20846CD5-91A7-413C-810B-E6B38697CC46}"/>
    <cellStyle name="RISKtopEdge 3 7 2" xfId="5771" xr:uid="{313239E4-858A-4607-9BAF-A67A44FEDFE8}"/>
    <cellStyle name="RISKtopEdge 3 7 3" xfId="8963" xr:uid="{CA12B294-34A4-42AE-A095-7DF49018504D}"/>
    <cellStyle name="RISKtopEdge 3 8" xfId="2625" xr:uid="{377A88AA-EBAF-488E-978E-2728DE6F3159}"/>
    <cellStyle name="RISKtopEdge 3 8 2" xfId="6001" xr:uid="{7EE55772-E53B-4E0E-9D09-0660065DF77B}"/>
    <cellStyle name="RISKtopEdge 3 8 3" xfId="9193" xr:uid="{66420CFC-A24E-40A3-849B-82D89217A434}"/>
    <cellStyle name="RISKtopEdge 3 9" xfId="2864" xr:uid="{20D098A3-18EB-42E7-85CD-620A052064C6}"/>
    <cellStyle name="RISKtopEdge 3 9 2" xfId="6234" xr:uid="{20DD1408-3CA4-45F8-BE28-F60B802EAC3A}"/>
    <cellStyle name="RISKtopEdge 3 9 3" xfId="9423" xr:uid="{E7ADCE36-507C-4CDC-9D27-C137EA9A5C50}"/>
    <cellStyle name="RISKtopEdge 30" xfId="12669" xr:uid="{5517E748-B3FE-4F03-9B3F-9F9FBD85F557}"/>
    <cellStyle name="RISKtopEdge 31" xfId="12834" xr:uid="{2230C3A4-77FF-49DD-9C04-DCA90AAAAEF9}"/>
    <cellStyle name="RISKtopEdge 32" xfId="12975" xr:uid="{98D66834-0F68-451A-80D7-1CC8C77380C8}"/>
    <cellStyle name="RISKtopEdge 33" xfId="13337" xr:uid="{2F537A1D-7412-43EE-88D9-56D6D1797428}"/>
    <cellStyle name="RISKtopEdge 34" xfId="13466" xr:uid="{F911E129-3FC2-4F46-9679-61F34699A28C}"/>
    <cellStyle name="RISKtopEdge 4" xfId="1130" xr:uid="{00000000-0005-0000-0000-000090070000}"/>
    <cellStyle name="RISKtopEdge 4 10" xfId="3071" xr:uid="{592D0ABC-AF4C-4FD5-B0AA-A2F9B7D661D7}"/>
    <cellStyle name="RISKtopEdge 4 10 2" xfId="6469" xr:uid="{3CBA4624-D2F2-47B4-8F29-F6A24AD12DB4}"/>
    <cellStyle name="RISKtopEdge 4 10 3" xfId="9655" xr:uid="{D16DEE66-BC79-4799-A502-EDEDC002AD4D}"/>
    <cellStyle name="RISKtopEdge 4 11" xfId="3313" xr:uid="{AE1B5D2F-BB30-4430-AD7E-9088F2FC939B}"/>
    <cellStyle name="RISKtopEdge 4 11 2" xfId="6732" xr:uid="{A07DD7A6-8B28-4608-9F10-9D4D3032F9CB}"/>
    <cellStyle name="RISKtopEdge 4 11 3" xfId="9897" xr:uid="{6FCBE359-D9D8-4870-B06A-2A26FE7CB50C}"/>
    <cellStyle name="RISKtopEdge 4 12" xfId="6994" xr:uid="{20469BC0-B206-4426-93D3-3F90422456BA}"/>
    <cellStyle name="RISKtopEdge 4 12 2" xfId="10139" xr:uid="{0384EB06-6B80-4251-875D-A11650DB08C6}"/>
    <cellStyle name="RISKtopEdge 4 13" xfId="7243" xr:uid="{E169BCEA-1A44-4EBE-B313-77125B6756AB}"/>
    <cellStyle name="RISKtopEdge 4 13 2" xfId="10382" xr:uid="{6CFB68EA-ABB9-462F-A9F1-3C792B1064EF}"/>
    <cellStyle name="RISKtopEdge 4 14" xfId="7597" xr:uid="{765B4CB4-B98F-47AF-8EDD-50043C74DBCE}"/>
    <cellStyle name="RISKtopEdge 4 14 2" xfId="10731" xr:uid="{102D6DDC-C118-4D38-B1B0-E9C8E6EF3940}"/>
    <cellStyle name="RISKtopEdge 4 15" xfId="7735" xr:uid="{19294AD0-0A2B-4D71-964B-67FD8C18A7D3}"/>
    <cellStyle name="RISKtopEdge 4 15 2" xfId="10868" xr:uid="{A3B78210-5EA9-41A9-BB37-D366983DED90}"/>
    <cellStyle name="RISKtopEdge 4 16" xfId="4619" xr:uid="{36AB68AD-74C7-4C8C-8C27-7F3936EBFBF7}"/>
    <cellStyle name="RISKtopEdge 4 17" xfId="7839" xr:uid="{475ECB11-46A9-4BA1-BB9D-5E15CD93F250}"/>
    <cellStyle name="RISKtopEdge 4 18" xfId="11121" xr:uid="{CCD23037-0141-4643-BD00-D4613C30E22A}"/>
    <cellStyle name="RISKtopEdge 4 19" xfId="11537" xr:uid="{FD437020-D863-4F8B-84A6-85EDD89F830C}"/>
    <cellStyle name="RISKtopEdge 4 2" xfId="1131" xr:uid="{00000000-0005-0000-0000-000091070000}"/>
    <cellStyle name="RISKtopEdge 4 2 10" xfId="3314" xr:uid="{8D875272-93FF-4629-ABFA-466986D3C716}"/>
    <cellStyle name="RISKtopEdge 4 2 10 2" xfId="6733" xr:uid="{4EA2C253-DA45-462F-AA7C-1D2CDF668C3E}"/>
    <cellStyle name="RISKtopEdge 4 2 10 3" xfId="9898" xr:uid="{2EE639E5-15A3-4334-B235-544767171B38}"/>
    <cellStyle name="RISKtopEdge 4 2 11" xfId="6995" xr:uid="{51EE8EDF-6C89-4204-AB8E-05DC018BAA93}"/>
    <cellStyle name="RISKtopEdge 4 2 11 2" xfId="10140" xr:uid="{15664EEE-BB1D-4405-92CE-BBFB5F9F2A33}"/>
    <cellStyle name="RISKtopEdge 4 2 12" xfId="7244" xr:uid="{68B54F3A-6ACD-45DD-BE6E-8B68D36D376C}"/>
    <cellStyle name="RISKtopEdge 4 2 12 2" xfId="10383" xr:uid="{43449D7B-BCA3-4E83-BAF1-B45D24701AD0}"/>
    <cellStyle name="RISKtopEdge 4 2 13" xfId="7598" xr:uid="{E180608B-C21D-4F24-8BA1-7573731FC131}"/>
    <cellStyle name="RISKtopEdge 4 2 13 2" xfId="10732" xr:uid="{9F1959A8-FD6C-4549-9C67-468AAC048E6E}"/>
    <cellStyle name="RISKtopEdge 4 2 14" xfId="7736" xr:uid="{C4575924-C322-42F8-8487-EF7C403E1F52}"/>
    <cellStyle name="RISKtopEdge 4 2 14 2" xfId="10869" xr:uid="{5940F317-1100-412F-8FEC-EC8445CFD143}"/>
    <cellStyle name="RISKtopEdge 4 2 15" xfId="4620" xr:uid="{CCDD7FF2-2E07-477E-96EA-7959A34B6805}"/>
    <cellStyle name="RISKtopEdge 4 2 16" xfId="7840" xr:uid="{D7627679-ADA3-44DD-8B69-0731E7B5CA83}"/>
    <cellStyle name="RISKtopEdge 4 2 17" xfId="11122" xr:uid="{F2C91D6E-32F3-4A90-BAB8-7FAE1E812B23}"/>
    <cellStyle name="RISKtopEdge 4 2 18" xfId="11538" xr:uid="{7D7ACF11-735E-41D1-8925-5A1B973DC7CC}"/>
    <cellStyle name="RISKtopEdge 4 2 19" xfId="11687" xr:uid="{AA7E2BE9-317D-49CA-8F97-DB4E7315EB5E}"/>
    <cellStyle name="RISKtopEdge 4 2 2" xfId="1390" xr:uid="{00000000-0005-0000-0000-000092070000}"/>
    <cellStyle name="RISKtopEdge 4 2 2 2" xfId="3501" xr:uid="{8ECEB4B5-D0B0-4B9B-B8C7-85525DA0E637}"/>
    <cellStyle name="RISKtopEdge 4 2 2 3" xfId="4807" xr:uid="{A43699A9-6297-44BF-86F4-E1BAA0D03562}"/>
    <cellStyle name="RISKtopEdge 4 2 2 4" xfId="8017" xr:uid="{0EACE3ED-C669-4D6E-ABC6-4167A5765501}"/>
    <cellStyle name="RISKtopEdge 4 2 20" xfId="11791" xr:uid="{FD375240-EFF4-4FAA-8EA8-BFDACD36E87E}"/>
    <cellStyle name="RISKtopEdge 4 2 21" xfId="11981" xr:uid="{FD17DEDF-B56C-4334-9C7E-67D0BEC56F9E}"/>
    <cellStyle name="RISKtopEdge 4 2 22" xfId="12233" xr:uid="{C4F88B7E-BEBA-4DE5-8832-AD850E7C4A8A}"/>
    <cellStyle name="RISKtopEdge 4 2 23" xfId="12675" xr:uid="{69950C69-5DB6-4CE7-B275-BB0E61D8E0E3}"/>
    <cellStyle name="RISKtopEdge 4 2 24" xfId="12840" xr:uid="{75809865-358F-418B-969C-82BA3E53BD07}"/>
    <cellStyle name="RISKtopEdge 4 2 25" xfId="12981" xr:uid="{B33CF0F7-05EA-4050-8E35-8FEA6F0C1E8A}"/>
    <cellStyle name="RISKtopEdge 4 2 26" xfId="13343" xr:uid="{168572EF-A53F-4686-B0FF-D0EC52C60FCB}"/>
    <cellStyle name="RISKtopEdge 4 2 27" xfId="13472" xr:uid="{55FD8EEF-1BE2-494D-BD95-E4EA6E05EE55}"/>
    <cellStyle name="RISKtopEdge 4 2 3" xfId="1639" xr:uid="{00000000-0005-0000-0000-000093070000}"/>
    <cellStyle name="RISKtopEdge 4 2 3 2" xfId="3740" xr:uid="{18D2B3C7-BE50-4A23-8CDD-9D859234D672}"/>
    <cellStyle name="RISKtopEdge 4 2 3 3" xfId="5048" xr:uid="{C72A334D-FE9D-46A4-9DB3-47B2AD39C5E3}"/>
    <cellStyle name="RISKtopEdge 4 2 3 4" xfId="8255" xr:uid="{6C2DE96A-5C28-4F84-AC65-E56CF1641C5D}"/>
    <cellStyle name="RISKtopEdge 4 2 4" xfId="1896" xr:uid="{00000000-0005-0000-0000-000094070000}"/>
    <cellStyle name="RISKtopEdge 4 2 4 2" xfId="3996" xr:uid="{781010F5-ADA5-4D4C-9649-B93D047CB90F}"/>
    <cellStyle name="RISKtopEdge 4 2 4 3" xfId="5300" xr:uid="{CCE3BA5F-0060-45D6-B947-7570AE890395}"/>
    <cellStyle name="RISKtopEdge 4 2 4 4" xfId="8494" xr:uid="{1B287704-70A1-403F-BD81-FCCC660D1EDF}"/>
    <cellStyle name="RISKtopEdge 4 2 5" xfId="2150" xr:uid="{00000000-0005-0000-0000-000095070000}"/>
    <cellStyle name="RISKtopEdge 4 2 5 2" xfId="4240" xr:uid="{1C0E10B8-E45F-4DA3-BAC0-E57821919041}"/>
    <cellStyle name="RISKtopEdge 4 2 5 3" xfId="5538" xr:uid="{3D976A02-9173-470D-AEA0-D211EDD67778}"/>
    <cellStyle name="RISKtopEdge 4 2 5 4" xfId="8730" xr:uid="{85FADB72-538A-406A-9D94-6A77A0F14710}"/>
    <cellStyle name="RISKtopEdge 4 2 6" xfId="2392" xr:uid="{E859335A-38F1-4E10-B7B2-76E1DF9FBC68}"/>
    <cellStyle name="RISKtopEdge 4 2 6 2" xfId="5774" xr:uid="{C646AEE1-FE42-4DB2-82DF-71BF436CFF16}"/>
    <cellStyle name="RISKtopEdge 4 2 6 3" xfId="8966" xr:uid="{A3483681-D58C-49DE-AB34-24141C3E7AA7}"/>
    <cellStyle name="RISKtopEdge 4 2 7" xfId="2628" xr:uid="{5E629A9D-E4BA-4225-9694-C9CD814E02CF}"/>
    <cellStyle name="RISKtopEdge 4 2 7 2" xfId="6004" xr:uid="{987BF0B4-F995-4F14-9C5F-793EBF8D3541}"/>
    <cellStyle name="RISKtopEdge 4 2 7 3" xfId="9196" xr:uid="{0BC06CEA-FB3F-4A73-B205-8450AD70BBBB}"/>
    <cellStyle name="RISKtopEdge 4 2 8" xfId="2867" xr:uid="{27917B5C-E22E-4FF9-8192-11EDC1C515A0}"/>
    <cellStyle name="RISKtopEdge 4 2 8 2" xfId="6237" xr:uid="{D1A5D682-88D6-43DC-B9B1-E23A3B2DB099}"/>
    <cellStyle name="RISKtopEdge 4 2 8 3" xfId="9426" xr:uid="{94E6164E-1941-4143-95BB-CDFC13C7FEE6}"/>
    <cellStyle name="RISKtopEdge 4 2 9" xfId="3072" xr:uid="{1149C5CC-9D77-4FEE-8B25-CC5D8E30303B}"/>
    <cellStyle name="RISKtopEdge 4 2 9 2" xfId="6470" xr:uid="{2D9D6AF9-80E9-4FC2-9DB1-485DC0B231A7}"/>
    <cellStyle name="RISKtopEdge 4 2 9 3" xfId="9656" xr:uid="{C699DDB8-101C-4DE5-AD38-3B91C791BCC2}"/>
    <cellStyle name="RISKtopEdge 4 20" xfId="11686" xr:uid="{F02395A2-3E80-4864-B89A-464F9A0AA31D}"/>
    <cellStyle name="RISKtopEdge 4 21" xfId="11790" xr:uid="{491BF4C9-813E-4C13-9008-C5DD06C892E3}"/>
    <cellStyle name="RISKtopEdge 4 22" xfId="11980" xr:uid="{62CC8FB9-FB3F-4F40-AE3B-32B2C4A98D15}"/>
    <cellStyle name="RISKtopEdge 4 23" xfId="12232" xr:uid="{16496533-1B8E-4F47-9A40-50C6EC4AA815}"/>
    <cellStyle name="RISKtopEdge 4 24" xfId="12674" xr:uid="{B2FE21D3-C36C-4E58-847B-FF3F18B1C96F}"/>
    <cellStyle name="RISKtopEdge 4 25" xfId="12839" xr:uid="{A87FD8EF-FE81-4D5C-8569-2298F9E03A46}"/>
    <cellStyle name="RISKtopEdge 4 26" xfId="12980" xr:uid="{5E2BE790-DD97-4B42-A491-94EF9A911E8A}"/>
    <cellStyle name="RISKtopEdge 4 27" xfId="13342" xr:uid="{1C5BF3D8-7A79-4617-B1A3-2F59782FD366}"/>
    <cellStyle name="RISKtopEdge 4 28" xfId="13471" xr:uid="{80DA748C-0110-4059-9ACB-E46530730E58}"/>
    <cellStyle name="RISKtopEdge 4 3" xfId="1389" xr:uid="{00000000-0005-0000-0000-000096070000}"/>
    <cellStyle name="RISKtopEdge 4 3 2" xfId="3500" xr:uid="{DE5D3B00-3D9F-42BF-8FC5-8A20BE686E0D}"/>
    <cellStyle name="RISKtopEdge 4 3 3" xfId="4806" xr:uid="{7CAE45B4-89C4-451E-ACAA-D7CFECAB97C4}"/>
    <cellStyle name="RISKtopEdge 4 3 4" xfId="8016" xr:uid="{F6C6B9B3-C3AF-434F-A462-9AE167E2A3CC}"/>
    <cellStyle name="RISKtopEdge 4 4" xfId="1638" xr:uid="{00000000-0005-0000-0000-000097070000}"/>
    <cellStyle name="RISKtopEdge 4 4 2" xfId="3739" xr:uid="{801FB545-16C0-4066-A6F7-88ABB5A5EE4A}"/>
    <cellStyle name="RISKtopEdge 4 4 3" xfId="5047" xr:uid="{E446745F-59C1-45E3-992B-9BAEC5A6415A}"/>
    <cellStyle name="RISKtopEdge 4 4 4" xfId="8254" xr:uid="{2F53F237-4D5F-407F-B83C-F8C42549E947}"/>
    <cellStyle name="RISKtopEdge 4 5" xfId="1895" xr:uid="{00000000-0005-0000-0000-000098070000}"/>
    <cellStyle name="RISKtopEdge 4 5 2" xfId="3995" xr:uid="{E8F95A3E-FC8F-49A6-89F4-D0DE30A3E4E0}"/>
    <cellStyle name="RISKtopEdge 4 5 3" xfId="5299" xr:uid="{3E5569B8-6EEF-43F8-8362-85E873A79AE7}"/>
    <cellStyle name="RISKtopEdge 4 5 4" xfId="8493" xr:uid="{014B6002-F816-4291-AC00-A8B251342226}"/>
    <cellStyle name="RISKtopEdge 4 6" xfId="2149" xr:uid="{00000000-0005-0000-0000-000099070000}"/>
    <cellStyle name="RISKtopEdge 4 6 2" xfId="4239" xr:uid="{CECC8F30-141E-4F84-B0C9-4CB90FCACAB7}"/>
    <cellStyle name="RISKtopEdge 4 6 3" xfId="5537" xr:uid="{5C1FB81C-22B1-45D2-9F2A-88562C64E60C}"/>
    <cellStyle name="RISKtopEdge 4 6 4" xfId="8729" xr:uid="{82340D14-8C33-455B-A664-468D3A04A7A3}"/>
    <cellStyle name="RISKtopEdge 4 7" xfId="2391" xr:uid="{A6984587-E4E5-4104-B3DC-86E4A629E482}"/>
    <cellStyle name="RISKtopEdge 4 7 2" xfId="5773" xr:uid="{4853EEB5-41C3-44FB-AA0C-3F2228DD33DB}"/>
    <cellStyle name="RISKtopEdge 4 7 3" xfId="8965" xr:uid="{74788056-112C-496F-A17D-7201E54F4C42}"/>
    <cellStyle name="RISKtopEdge 4 8" xfId="2627" xr:uid="{E0EF3C42-9B00-4501-A578-9811165D4F1A}"/>
    <cellStyle name="RISKtopEdge 4 8 2" xfId="6003" xr:uid="{BFB0A908-88EF-46C9-8275-38EFD9B855C5}"/>
    <cellStyle name="RISKtopEdge 4 8 3" xfId="9195" xr:uid="{A96D1788-10D2-4AD2-BA67-B428FAE226AB}"/>
    <cellStyle name="RISKtopEdge 4 9" xfId="2866" xr:uid="{5320157C-6B6E-42CC-B558-762B99BB61AA}"/>
    <cellStyle name="RISKtopEdge 4 9 2" xfId="6236" xr:uid="{47FE4A83-3932-4007-9880-EA3FDB3A0A58}"/>
    <cellStyle name="RISKtopEdge 4 9 3" xfId="9425" xr:uid="{CDC26340-FD6E-4F7D-8AEE-CDE559CAD829}"/>
    <cellStyle name="RISKtopEdge 5" xfId="1132" xr:uid="{00000000-0005-0000-0000-00009A070000}"/>
    <cellStyle name="RISKtopEdge 5 10" xfId="3073" xr:uid="{2D8D5E2F-3F49-45E8-807F-4435598258F7}"/>
    <cellStyle name="RISKtopEdge 5 10 2" xfId="6471" xr:uid="{0AB23F2A-7F6F-4701-831A-A50CFB82A6EA}"/>
    <cellStyle name="RISKtopEdge 5 10 3" xfId="9657" xr:uid="{393E6E79-9B33-49B6-AE3C-91F3321C5566}"/>
    <cellStyle name="RISKtopEdge 5 11" xfId="3315" xr:uid="{F76D609F-63E6-4B94-8222-D5D27455A3CE}"/>
    <cellStyle name="RISKtopEdge 5 11 2" xfId="6734" xr:uid="{78C622CB-A283-4E37-B711-FC9310B670C3}"/>
    <cellStyle name="RISKtopEdge 5 11 3" xfId="9899" xr:uid="{D7C9039E-B32B-4454-9AAF-DD4A08DF500C}"/>
    <cellStyle name="RISKtopEdge 5 12" xfId="6996" xr:uid="{A40CF2C5-9021-449C-A242-01F5476379D0}"/>
    <cellStyle name="RISKtopEdge 5 12 2" xfId="10141" xr:uid="{B93027AF-3503-4BDB-B20D-A7BF9504DF5A}"/>
    <cellStyle name="RISKtopEdge 5 13" xfId="7245" xr:uid="{1DFE78A6-8BC5-464F-96FD-501479352D39}"/>
    <cellStyle name="RISKtopEdge 5 13 2" xfId="10384" xr:uid="{CB22F358-42F7-4700-833D-A84353C5E37D}"/>
    <cellStyle name="RISKtopEdge 5 14" xfId="7599" xr:uid="{A0B69064-0641-4E7F-92F7-D90FD3AEB1EE}"/>
    <cellStyle name="RISKtopEdge 5 14 2" xfId="10733" xr:uid="{B341571D-DA2E-4F43-8C04-C9C6D64500C9}"/>
    <cellStyle name="RISKtopEdge 5 15" xfId="7737" xr:uid="{9B2AF03B-B3A1-4D2A-8CC7-77C2B6764489}"/>
    <cellStyle name="RISKtopEdge 5 15 2" xfId="10870" xr:uid="{BCB11E11-9477-4939-A15D-883FFF82890D}"/>
    <cellStyle name="RISKtopEdge 5 16" xfId="4621" xr:uid="{78E30CE0-8426-4AE6-932F-A86444388BB0}"/>
    <cellStyle name="RISKtopEdge 5 17" xfId="7841" xr:uid="{171A25F1-2314-4982-ADB1-5632B34EB7C0}"/>
    <cellStyle name="RISKtopEdge 5 18" xfId="11123" xr:uid="{222A1339-82FF-4A1B-AA7F-28ECB5C0E6D3}"/>
    <cellStyle name="RISKtopEdge 5 19" xfId="11539" xr:uid="{EBAF2984-B889-45ED-8441-08266DD71457}"/>
    <cellStyle name="RISKtopEdge 5 2" xfId="1133" xr:uid="{00000000-0005-0000-0000-00009B070000}"/>
    <cellStyle name="RISKtopEdge 5 2 10" xfId="3316" xr:uid="{829DCC2D-0FA5-4BEB-A968-CDE896AF3544}"/>
    <cellStyle name="RISKtopEdge 5 2 10 2" xfId="6735" xr:uid="{4A44D620-794C-4AB4-AB17-085B2C86BBBB}"/>
    <cellStyle name="RISKtopEdge 5 2 10 3" xfId="9900" xr:uid="{D1459E8F-C459-43C8-9A9E-A9ED1AFD3715}"/>
    <cellStyle name="RISKtopEdge 5 2 11" xfId="6997" xr:uid="{C0C8969F-105D-4C4B-A9CF-85008E3EEFE3}"/>
    <cellStyle name="RISKtopEdge 5 2 11 2" xfId="10142" xr:uid="{3807E214-A087-4F20-A07A-C36511BB646F}"/>
    <cellStyle name="RISKtopEdge 5 2 12" xfId="7246" xr:uid="{4EE0E666-7B76-4F38-B06C-90A2E903D771}"/>
    <cellStyle name="RISKtopEdge 5 2 12 2" xfId="10385" xr:uid="{3A5C9C9F-0DCD-4027-BD5D-908D68EC2ECB}"/>
    <cellStyle name="RISKtopEdge 5 2 13" xfId="7600" xr:uid="{6DCAE346-9145-40C2-A317-3FEB42B29710}"/>
    <cellStyle name="RISKtopEdge 5 2 13 2" xfId="10734" xr:uid="{1C02465F-C7E3-4FC1-82FF-16E7152A12E2}"/>
    <cellStyle name="RISKtopEdge 5 2 14" xfId="7738" xr:uid="{A7EC29B1-7A01-4CE6-A347-65C4C7FDFFB3}"/>
    <cellStyle name="RISKtopEdge 5 2 14 2" xfId="10871" xr:uid="{E8118735-F769-4309-9716-C19F319C8539}"/>
    <cellStyle name="RISKtopEdge 5 2 15" xfId="4622" xr:uid="{3555BEAA-CE57-45AC-BF11-27502F97F3C8}"/>
    <cellStyle name="RISKtopEdge 5 2 16" xfId="7842" xr:uid="{DA1BA193-4019-41DE-AD3B-8FBC147C5091}"/>
    <cellStyle name="RISKtopEdge 5 2 17" xfId="11124" xr:uid="{7499F16F-2B74-4715-A0F6-D7B080E70CF8}"/>
    <cellStyle name="RISKtopEdge 5 2 18" xfId="11540" xr:uid="{3A5D89AB-E587-4EFD-A562-402B12C893E6}"/>
    <cellStyle name="RISKtopEdge 5 2 19" xfId="11689" xr:uid="{C63C31CC-A9D4-4833-8F8B-23775E344863}"/>
    <cellStyle name="RISKtopEdge 5 2 2" xfId="1392" xr:uid="{00000000-0005-0000-0000-00009C070000}"/>
    <cellStyle name="RISKtopEdge 5 2 2 2" xfId="3503" xr:uid="{26E69AFC-303E-4CB0-9A43-AA1805099344}"/>
    <cellStyle name="RISKtopEdge 5 2 2 3" xfId="4809" xr:uid="{DCF3AE8A-BB7F-4174-B936-41E5336C741F}"/>
    <cellStyle name="RISKtopEdge 5 2 2 4" xfId="8019" xr:uid="{84D863D5-C55A-41C5-BF6C-477856D47649}"/>
    <cellStyle name="RISKtopEdge 5 2 20" xfId="11793" xr:uid="{F10CB78E-CB9B-4F71-B41E-4A6E671E4686}"/>
    <cellStyle name="RISKtopEdge 5 2 21" xfId="11983" xr:uid="{125D494E-42F6-49DB-8395-946E940C303A}"/>
    <cellStyle name="RISKtopEdge 5 2 22" xfId="12235" xr:uid="{48F63DB7-B8B0-4EFC-84EF-760D7C3B2CDD}"/>
    <cellStyle name="RISKtopEdge 5 2 23" xfId="12677" xr:uid="{F2F210F8-5334-440B-9A54-5D5218FC2462}"/>
    <cellStyle name="RISKtopEdge 5 2 24" xfId="12842" xr:uid="{3BE31301-2E12-4B19-8CFD-43F1D4792A0E}"/>
    <cellStyle name="RISKtopEdge 5 2 25" xfId="12983" xr:uid="{F5EF2F3F-B4CA-4367-BD07-A68554B29E6D}"/>
    <cellStyle name="RISKtopEdge 5 2 26" xfId="13345" xr:uid="{2DAAE6F2-2369-47B4-8464-FC845E2CC932}"/>
    <cellStyle name="RISKtopEdge 5 2 27" xfId="13474" xr:uid="{2D0EB7F1-4325-46C6-9DD3-AA644A9431AB}"/>
    <cellStyle name="RISKtopEdge 5 2 3" xfId="1641" xr:uid="{00000000-0005-0000-0000-00009D070000}"/>
    <cellStyle name="RISKtopEdge 5 2 3 2" xfId="3742" xr:uid="{6F98A44E-444F-4700-B7B3-70E8D92F32E8}"/>
    <cellStyle name="RISKtopEdge 5 2 3 3" xfId="5050" xr:uid="{59C44EBF-1BCA-4AD6-A0CF-67F366EC5254}"/>
    <cellStyle name="RISKtopEdge 5 2 3 4" xfId="8257" xr:uid="{AFD4C18D-8C13-4073-8F54-C6CF8A9C2CCB}"/>
    <cellStyle name="RISKtopEdge 5 2 4" xfId="1898" xr:uid="{00000000-0005-0000-0000-00009E070000}"/>
    <cellStyle name="RISKtopEdge 5 2 4 2" xfId="3998" xr:uid="{58F6BCD8-9CCF-443F-88CA-A86C65C2BF05}"/>
    <cellStyle name="RISKtopEdge 5 2 4 3" xfId="5302" xr:uid="{7C6295B5-A98D-4EA1-B726-4D73E75BA574}"/>
    <cellStyle name="RISKtopEdge 5 2 4 4" xfId="8496" xr:uid="{C8972E21-C0CA-4AFA-A7F8-8B00224102B9}"/>
    <cellStyle name="RISKtopEdge 5 2 5" xfId="2152" xr:uid="{00000000-0005-0000-0000-00009F070000}"/>
    <cellStyle name="RISKtopEdge 5 2 5 2" xfId="4242" xr:uid="{E59BEE4D-01C1-4254-A386-AEEFEC458D27}"/>
    <cellStyle name="RISKtopEdge 5 2 5 3" xfId="5540" xr:uid="{EC42E0D9-764F-4DE1-9EF9-BE990EF97371}"/>
    <cellStyle name="RISKtopEdge 5 2 5 4" xfId="8732" xr:uid="{590787D1-5413-4C92-BE11-E6B715C04789}"/>
    <cellStyle name="RISKtopEdge 5 2 6" xfId="2394" xr:uid="{7DFF540C-B017-4B59-95E2-6E446AF731EF}"/>
    <cellStyle name="RISKtopEdge 5 2 6 2" xfId="5776" xr:uid="{EFA727A2-18EA-4A64-892D-3E56DEA0F9D7}"/>
    <cellStyle name="RISKtopEdge 5 2 6 3" xfId="8968" xr:uid="{13577A32-6A0A-469D-A6BE-600F5F69EE5E}"/>
    <cellStyle name="RISKtopEdge 5 2 7" xfId="2630" xr:uid="{096E5B56-13B8-4F79-AF65-51D1CC83FEFA}"/>
    <cellStyle name="RISKtopEdge 5 2 7 2" xfId="6006" xr:uid="{8517935C-FC24-435F-A9ED-23DC4179C019}"/>
    <cellStyle name="RISKtopEdge 5 2 7 3" xfId="9198" xr:uid="{FB4F0BCC-030A-4848-BF1A-94D916478D0B}"/>
    <cellStyle name="RISKtopEdge 5 2 8" xfId="2869" xr:uid="{488AA6F7-60E1-4D5B-8B45-F52174AAB453}"/>
    <cellStyle name="RISKtopEdge 5 2 8 2" xfId="6239" xr:uid="{C2E1B8A4-6F71-44D2-A0A9-EE18983ECF6E}"/>
    <cellStyle name="RISKtopEdge 5 2 8 3" xfId="9428" xr:uid="{99B9FDA8-19B3-41C2-96EF-DBAF1E8DDA57}"/>
    <cellStyle name="RISKtopEdge 5 2 9" xfId="3074" xr:uid="{059EA484-1835-43F2-9601-5480466CE617}"/>
    <cellStyle name="RISKtopEdge 5 2 9 2" xfId="6472" xr:uid="{797DB9E8-162D-4D8A-BAF6-9F8CEDA489BE}"/>
    <cellStyle name="RISKtopEdge 5 2 9 3" xfId="9658" xr:uid="{A031CBE0-D468-405E-90B4-0A59435F870C}"/>
    <cellStyle name="RISKtopEdge 5 20" xfId="11688" xr:uid="{BDDBD916-9589-4F3C-A763-51ADEA02C7C7}"/>
    <cellStyle name="RISKtopEdge 5 21" xfId="11792" xr:uid="{7259AA49-B16F-4A80-B633-53B714B1ED27}"/>
    <cellStyle name="RISKtopEdge 5 22" xfId="11982" xr:uid="{C83B5084-FE35-4C85-8AE8-41FC77F22542}"/>
    <cellStyle name="RISKtopEdge 5 23" xfId="12234" xr:uid="{3A5A91EE-1318-4B31-B5F1-F84393FD0EB1}"/>
    <cellStyle name="RISKtopEdge 5 24" xfId="12676" xr:uid="{FB69A616-2790-40C1-B104-73ED5FD384F4}"/>
    <cellStyle name="RISKtopEdge 5 25" xfId="12841" xr:uid="{C197B6E3-4C3B-4C4E-BF2C-8219E7F0C5EC}"/>
    <cellStyle name="RISKtopEdge 5 26" xfId="12982" xr:uid="{E0004E16-C83C-48AF-88FA-87BD10DF3493}"/>
    <cellStyle name="RISKtopEdge 5 27" xfId="13344" xr:uid="{61FB7ECE-2520-475F-A3B8-37876C384217}"/>
    <cellStyle name="RISKtopEdge 5 28" xfId="13473" xr:uid="{32D348D4-FA19-4348-A7F7-1094593B0571}"/>
    <cellStyle name="RISKtopEdge 5 3" xfId="1391" xr:uid="{00000000-0005-0000-0000-0000A0070000}"/>
    <cellStyle name="RISKtopEdge 5 3 2" xfId="3502" xr:uid="{E28BE5C8-9D20-46E2-9BD3-518F38B2DF41}"/>
    <cellStyle name="RISKtopEdge 5 3 3" xfId="4808" xr:uid="{758EDD2C-5205-4821-ACF4-0FA646321D1D}"/>
    <cellStyle name="RISKtopEdge 5 3 4" xfId="8018" xr:uid="{40311CDD-5C46-49D4-8167-22DBC1DA84DE}"/>
    <cellStyle name="RISKtopEdge 5 4" xfId="1640" xr:uid="{00000000-0005-0000-0000-0000A1070000}"/>
    <cellStyle name="RISKtopEdge 5 4 2" xfId="3741" xr:uid="{175B8F1D-4EE8-4356-B59E-F0A7896B5683}"/>
    <cellStyle name="RISKtopEdge 5 4 3" xfId="5049" xr:uid="{D22CE577-DE54-4C4F-A6DD-750C818A0810}"/>
    <cellStyle name="RISKtopEdge 5 4 4" xfId="8256" xr:uid="{59B87103-3F29-4A58-9EA3-9416AB90FDCB}"/>
    <cellStyle name="RISKtopEdge 5 5" xfId="1897" xr:uid="{00000000-0005-0000-0000-0000A2070000}"/>
    <cellStyle name="RISKtopEdge 5 5 2" xfId="3997" xr:uid="{26974BA1-4F94-4DE0-8453-6B329FFDD56D}"/>
    <cellStyle name="RISKtopEdge 5 5 3" xfId="5301" xr:uid="{E267944C-2FAC-4031-A5BC-504F808128B3}"/>
    <cellStyle name="RISKtopEdge 5 5 4" xfId="8495" xr:uid="{273926EF-5594-4F00-9216-F9493B87FA08}"/>
    <cellStyle name="RISKtopEdge 5 6" xfId="2151" xr:uid="{00000000-0005-0000-0000-0000A3070000}"/>
    <cellStyle name="RISKtopEdge 5 6 2" xfId="4241" xr:uid="{ECA1BB8F-E968-492A-936B-45D74D62B2F8}"/>
    <cellStyle name="RISKtopEdge 5 6 3" xfId="5539" xr:uid="{7C30F29D-762A-401F-8831-40CE36C06351}"/>
    <cellStyle name="RISKtopEdge 5 6 4" xfId="8731" xr:uid="{403D456D-FB93-4E86-9659-323AEE5480FE}"/>
    <cellStyle name="RISKtopEdge 5 7" xfId="2393" xr:uid="{1503E366-6599-417F-A984-FEE3170521D4}"/>
    <cellStyle name="RISKtopEdge 5 7 2" xfId="5775" xr:uid="{A4C1E8C8-C59C-4950-9D09-2E5817715068}"/>
    <cellStyle name="RISKtopEdge 5 7 3" xfId="8967" xr:uid="{A3C52713-5695-4720-90C2-F7E3C4AFC137}"/>
    <cellStyle name="RISKtopEdge 5 8" xfId="2629" xr:uid="{081AA372-0D22-413B-92DD-9C4989099664}"/>
    <cellStyle name="RISKtopEdge 5 8 2" xfId="6005" xr:uid="{1F435F59-E5C6-448A-91C7-ABAD63ABFF5D}"/>
    <cellStyle name="RISKtopEdge 5 8 3" xfId="9197" xr:uid="{2A133A42-B77E-4229-9A70-35A1C9FC6FF3}"/>
    <cellStyle name="RISKtopEdge 5 9" xfId="2868" xr:uid="{6251DB4F-2B8B-40A0-BF62-B8CAACC0BCE5}"/>
    <cellStyle name="RISKtopEdge 5 9 2" xfId="6238" xr:uid="{CE96A893-B897-43A0-953C-70970A387AB1}"/>
    <cellStyle name="RISKtopEdge 5 9 3" xfId="9427" xr:uid="{EE88F2E2-31FD-4D03-AB90-DD3D71C5E30D}"/>
    <cellStyle name="RISKtopEdge 6" xfId="1134" xr:uid="{00000000-0005-0000-0000-0000A4070000}"/>
    <cellStyle name="RISKtopEdge 6 10" xfId="3075" xr:uid="{D96E7F6F-4147-4D21-99C2-03C8EE744CF3}"/>
    <cellStyle name="RISKtopEdge 6 10 2" xfId="6473" xr:uid="{B6D66A17-A4B6-44C2-96DE-075599E967A0}"/>
    <cellStyle name="RISKtopEdge 6 10 3" xfId="9659" xr:uid="{3EC60CC8-B1A6-4F26-9D1F-819AD306FADE}"/>
    <cellStyle name="RISKtopEdge 6 11" xfId="3317" xr:uid="{C6DC88F7-5F3E-41F7-B88F-62789F6A60D3}"/>
    <cellStyle name="RISKtopEdge 6 11 2" xfId="6736" xr:uid="{8FC7BBA3-88F3-452C-8308-F106D92A3DBE}"/>
    <cellStyle name="RISKtopEdge 6 11 3" xfId="9901" xr:uid="{32F8FFF6-1D7D-4AA8-85D6-5BA4A1C13729}"/>
    <cellStyle name="RISKtopEdge 6 12" xfId="6998" xr:uid="{A24B2418-DE14-42C7-8727-65717D9751EE}"/>
    <cellStyle name="RISKtopEdge 6 12 2" xfId="10143" xr:uid="{E1F7A6C1-85D2-4F12-8BC8-BABB5486358F}"/>
    <cellStyle name="RISKtopEdge 6 13" xfId="7247" xr:uid="{7492E778-4775-4398-AAE1-CDAC4622D521}"/>
    <cellStyle name="RISKtopEdge 6 13 2" xfId="10386" xr:uid="{85DA84BB-5FC9-419A-A8D2-D323D8C538BF}"/>
    <cellStyle name="RISKtopEdge 6 14" xfId="7601" xr:uid="{5CA59CE3-58A6-4C21-8FB9-EE5A35EE27B5}"/>
    <cellStyle name="RISKtopEdge 6 14 2" xfId="10735" xr:uid="{E32B26AA-1E2B-46B6-9083-3A4783E081E6}"/>
    <cellStyle name="RISKtopEdge 6 15" xfId="7739" xr:uid="{948C40AB-5268-4B8C-A938-0DFD6753EC01}"/>
    <cellStyle name="RISKtopEdge 6 15 2" xfId="10872" xr:uid="{C8DB9CD0-04BC-48F1-B630-FDC530672064}"/>
    <cellStyle name="RISKtopEdge 6 16" xfId="4623" xr:uid="{F21897F7-0D58-42E7-AA05-17D5744D62E3}"/>
    <cellStyle name="RISKtopEdge 6 17" xfId="7843" xr:uid="{1E466D92-9DB6-4547-89E6-D0257F7FC92E}"/>
    <cellStyle name="RISKtopEdge 6 18" xfId="11125" xr:uid="{B271F494-29D2-41C6-9C14-D763DF1D83ED}"/>
    <cellStyle name="RISKtopEdge 6 19" xfId="11541" xr:uid="{D2187493-533D-4D81-BE5C-929F34B0CBD0}"/>
    <cellStyle name="RISKtopEdge 6 2" xfId="1135" xr:uid="{00000000-0005-0000-0000-0000A5070000}"/>
    <cellStyle name="RISKtopEdge 6 2 10" xfId="3318" xr:uid="{4F4AD08D-5B4C-4AC0-B657-6F201F37B1A3}"/>
    <cellStyle name="RISKtopEdge 6 2 10 2" xfId="6737" xr:uid="{ED3BDF83-90DB-47C5-9191-61060664CEF2}"/>
    <cellStyle name="RISKtopEdge 6 2 10 3" xfId="9902" xr:uid="{FADA9DD5-3A83-4D0B-A3F1-74384C6CF01D}"/>
    <cellStyle name="RISKtopEdge 6 2 11" xfId="6999" xr:uid="{3D83F8AE-C72D-4FA4-AB44-6BFE413163C6}"/>
    <cellStyle name="RISKtopEdge 6 2 11 2" xfId="10144" xr:uid="{D88E115F-271C-4D16-8204-3190DC8A0AD6}"/>
    <cellStyle name="RISKtopEdge 6 2 12" xfId="7248" xr:uid="{8F087C05-CB4F-4AC0-B691-C6A33B771CC2}"/>
    <cellStyle name="RISKtopEdge 6 2 12 2" xfId="10387" xr:uid="{E806774F-12DD-4717-98A5-99BBE50AC2C5}"/>
    <cellStyle name="RISKtopEdge 6 2 13" xfId="7602" xr:uid="{5BBF35A1-1A83-4C65-A124-061ABEFEE54D}"/>
    <cellStyle name="RISKtopEdge 6 2 13 2" xfId="10736" xr:uid="{8366AF97-477F-4919-AC86-6AFABB9EAAC6}"/>
    <cellStyle name="RISKtopEdge 6 2 14" xfId="7740" xr:uid="{BAEF9F30-F54C-49C1-AF31-8175F3771289}"/>
    <cellStyle name="RISKtopEdge 6 2 14 2" xfId="10873" xr:uid="{AC6F11D3-E8AD-49E0-B425-D019272D85BF}"/>
    <cellStyle name="RISKtopEdge 6 2 15" xfId="4624" xr:uid="{F89C314F-3156-4184-9F57-537934CE4DBE}"/>
    <cellStyle name="RISKtopEdge 6 2 16" xfId="7844" xr:uid="{D5E0382A-F269-4F74-9672-6A4DDF86FCB7}"/>
    <cellStyle name="RISKtopEdge 6 2 17" xfId="11126" xr:uid="{90B72F03-AF2A-4FBB-A936-4C4F1266C38F}"/>
    <cellStyle name="RISKtopEdge 6 2 18" xfId="11542" xr:uid="{8F4867EE-DD12-447D-9836-7480947CF2D8}"/>
    <cellStyle name="RISKtopEdge 6 2 19" xfId="11691" xr:uid="{39C5ECFE-793F-42A7-8BE0-C9304304BF9E}"/>
    <cellStyle name="RISKtopEdge 6 2 2" xfId="1394" xr:uid="{00000000-0005-0000-0000-0000A6070000}"/>
    <cellStyle name="RISKtopEdge 6 2 2 2" xfId="3505" xr:uid="{D41C2C31-95A0-40DB-BA4C-EF08FC13527F}"/>
    <cellStyle name="RISKtopEdge 6 2 2 3" xfId="4811" xr:uid="{EBEBAC27-BD4E-4F68-A551-FDB8B441C851}"/>
    <cellStyle name="RISKtopEdge 6 2 2 4" xfId="8021" xr:uid="{9BB73A9B-2F46-4AFD-88B1-BB0C52872C7D}"/>
    <cellStyle name="RISKtopEdge 6 2 20" xfId="11795" xr:uid="{D7A6B6FC-053F-4355-8F82-0A3C6911C35C}"/>
    <cellStyle name="RISKtopEdge 6 2 21" xfId="11985" xr:uid="{963318EF-1403-44D3-BD8B-0AF73DF58C48}"/>
    <cellStyle name="RISKtopEdge 6 2 22" xfId="12237" xr:uid="{521D8A0C-5616-43E8-828C-67A73F5E4ACB}"/>
    <cellStyle name="RISKtopEdge 6 2 23" xfId="12679" xr:uid="{9738BACF-BE26-4CBE-B891-228122A7DAC5}"/>
    <cellStyle name="RISKtopEdge 6 2 24" xfId="12844" xr:uid="{8A0E5EE6-1888-4761-9A81-117049D820E5}"/>
    <cellStyle name="RISKtopEdge 6 2 25" xfId="12985" xr:uid="{93EF1A42-6E30-4653-8DA7-5D1C9B4ADEB4}"/>
    <cellStyle name="RISKtopEdge 6 2 26" xfId="13347" xr:uid="{099205FF-9D26-4F94-B0DF-C9D3355CDAE6}"/>
    <cellStyle name="RISKtopEdge 6 2 27" xfId="13476" xr:uid="{CA8822D2-47B5-4ED8-ABD7-06A323A12974}"/>
    <cellStyle name="RISKtopEdge 6 2 3" xfId="1643" xr:uid="{00000000-0005-0000-0000-0000A7070000}"/>
    <cellStyle name="RISKtopEdge 6 2 3 2" xfId="3744" xr:uid="{DEE80565-C132-4F47-A567-DE2AB72AF040}"/>
    <cellStyle name="RISKtopEdge 6 2 3 3" xfId="5052" xr:uid="{7ED8E2B6-782C-4978-8649-AA2BE7138835}"/>
    <cellStyle name="RISKtopEdge 6 2 3 4" xfId="8259" xr:uid="{07DA4F90-49B0-45AC-9BAE-EBBDBB0E557F}"/>
    <cellStyle name="RISKtopEdge 6 2 4" xfId="1900" xr:uid="{00000000-0005-0000-0000-0000A8070000}"/>
    <cellStyle name="RISKtopEdge 6 2 4 2" xfId="4000" xr:uid="{D827B6D6-6B0D-43E2-BB1A-D25065F434C6}"/>
    <cellStyle name="RISKtopEdge 6 2 4 3" xfId="5304" xr:uid="{4C35AECE-71F9-4DE2-AC42-03C96EB38706}"/>
    <cellStyle name="RISKtopEdge 6 2 4 4" xfId="8498" xr:uid="{E4F5334B-6C1B-44CC-B37D-A1610106640F}"/>
    <cellStyle name="RISKtopEdge 6 2 5" xfId="2154" xr:uid="{00000000-0005-0000-0000-0000A9070000}"/>
    <cellStyle name="RISKtopEdge 6 2 5 2" xfId="4244" xr:uid="{A7B0ECE6-BB1D-431B-ABFE-3B3872C348BD}"/>
    <cellStyle name="RISKtopEdge 6 2 5 3" xfId="5542" xr:uid="{1BBE3FD5-820B-45CB-9DB1-E62FF4AA6193}"/>
    <cellStyle name="RISKtopEdge 6 2 5 4" xfId="8734" xr:uid="{21531E79-3F9F-40B4-980B-C2D1D5CA0685}"/>
    <cellStyle name="RISKtopEdge 6 2 6" xfId="2396" xr:uid="{C6618031-26C5-478E-B0EA-3933AE4487D3}"/>
    <cellStyle name="RISKtopEdge 6 2 6 2" xfId="5778" xr:uid="{A9EDA9B1-378E-412B-9540-DDD9574F3CA6}"/>
    <cellStyle name="RISKtopEdge 6 2 6 3" xfId="8970" xr:uid="{14E710A5-E7B3-4223-8F4E-CB5564F2D77C}"/>
    <cellStyle name="RISKtopEdge 6 2 7" xfId="2632" xr:uid="{63D602CE-75FF-47A1-A77F-04D98208A505}"/>
    <cellStyle name="RISKtopEdge 6 2 7 2" xfId="6008" xr:uid="{68502E85-E4E5-4005-8200-9AD7E9C867C6}"/>
    <cellStyle name="RISKtopEdge 6 2 7 3" xfId="9200" xr:uid="{1FAF3CB1-7674-4452-8520-E74CBB8B0895}"/>
    <cellStyle name="RISKtopEdge 6 2 8" xfId="2871" xr:uid="{302BD0C0-A7D1-407C-BB6D-D441F9A68127}"/>
    <cellStyle name="RISKtopEdge 6 2 8 2" xfId="6241" xr:uid="{5B240A4B-7843-4172-8735-D8E9726AE242}"/>
    <cellStyle name="RISKtopEdge 6 2 8 3" xfId="9430" xr:uid="{F6FB4E98-B26E-4B10-94B6-424EB873F96A}"/>
    <cellStyle name="RISKtopEdge 6 2 9" xfId="3076" xr:uid="{4261EC29-5744-4D22-818A-BB84416CB435}"/>
    <cellStyle name="RISKtopEdge 6 2 9 2" xfId="6474" xr:uid="{4CB9F1A0-806C-4AA0-806D-21467A08BE6C}"/>
    <cellStyle name="RISKtopEdge 6 2 9 3" xfId="9660" xr:uid="{94FFB486-1F28-4AE2-B6E3-A77577B90BCD}"/>
    <cellStyle name="RISKtopEdge 6 20" xfId="11690" xr:uid="{7A1D5AA9-B9E8-4702-A425-28581D18FAEE}"/>
    <cellStyle name="RISKtopEdge 6 21" xfId="11794" xr:uid="{18C5B86B-F9CD-4A1C-AAA2-8CED69854011}"/>
    <cellStyle name="RISKtopEdge 6 22" xfId="11984" xr:uid="{A14023B3-5826-41A6-8004-C9B4317A0977}"/>
    <cellStyle name="RISKtopEdge 6 23" xfId="12236" xr:uid="{B17D217F-530D-4F95-9513-4C698354365F}"/>
    <cellStyle name="RISKtopEdge 6 24" xfId="12678" xr:uid="{69D12037-F4D7-4CEB-AC18-145B525211C7}"/>
    <cellStyle name="RISKtopEdge 6 25" xfId="12843" xr:uid="{F65A8442-7B01-4958-A2B5-C42FEA09CCD7}"/>
    <cellStyle name="RISKtopEdge 6 26" xfId="12984" xr:uid="{1A357CF6-91E8-4901-B4BA-7B19EB7FDAA3}"/>
    <cellStyle name="RISKtopEdge 6 27" xfId="13346" xr:uid="{E194CD47-A3DC-4A5B-BB3B-59507F8FCB9D}"/>
    <cellStyle name="RISKtopEdge 6 28" xfId="13475" xr:uid="{8D1F8570-133C-4266-8668-F6443F7057B4}"/>
    <cellStyle name="RISKtopEdge 6 3" xfId="1393" xr:uid="{00000000-0005-0000-0000-0000AA070000}"/>
    <cellStyle name="RISKtopEdge 6 3 2" xfId="3504" xr:uid="{1651CA33-488E-4C42-B006-6696CB9EB3BB}"/>
    <cellStyle name="RISKtopEdge 6 3 3" xfId="4810" xr:uid="{D1CA1098-DD71-4FFB-8305-149C6EBE3FC3}"/>
    <cellStyle name="RISKtopEdge 6 3 4" xfId="8020" xr:uid="{79A82216-99AB-47F4-A309-E697D56B96E7}"/>
    <cellStyle name="RISKtopEdge 6 4" xfId="1642" xr:uid="{00000000-0005-0000-0000-0000AB070000}"/>
    <cellStyle name="RISKtopEdge 6 4 2" xfId="3743" xr:uid="{F8358BE7-3A59-4D72-843E-5EDE5461CA56}"/>
    <cellStyle name="RISKtopEdge 6 4 3" xfId="5051" xr:uid="{9C3A289D-D1CC-408E-BA44-3694C046B49D}"/>
    <cellStyle name="RISKtopEdge 6 4 4" xfId="8258" xr:uid="{B9FBEB44-6D65-4286-958E-B5645D974D33}"/>
    <cellStyle name="RISKtopEdge 6 5" xfId="1899" xr:uid="{00000000-0005-0000-0000-0000AC070000}"/>
    <cellStyle name="RISKtopEdge 6 5 2" xfId="3999" xr:uid="{7E470BDD-CE81-4337-8237-C5B9AE130C63}"/>
    <cellStyle name="RISKtopEdge 6 5 3" xfId="5303" xr:uid="{58875FDE-F3F8-45FE-855D-1C3CBE9D1D60}"/>
    <cellStyle name="RISKtopEdge 6 5 4" xfId="8497" xr:uid="{271CF9E1-3AD6-42A6-9E38-8F7A91246058}"/>
    <cellStyle name="RISKtopEdge 6 6" xfId="2153" xr:uid="{00000000-0005-0000-0000-0000AD070000}"/>
    <cellStyle name="RISKtopEdge 6 6 2" xfId="4243" xr:uid="{2901D4C4-6E87-4D19-B03F-105CFF71378B}"/>
    <cellStyle name="RISKtopEdge 6 6 3" xfId="5541" xr:uid="{A59BBB40-5068-4058-908E-DEB697DD927B}"/>
    <cellStyle name="RISKtopEdge 6 6 4" xfId="8733" xr:uid="{B1B0046D-3CA8-4065-9E8D-80B553B9D721}"/>
    <cellStyle name="RISKtopEdge 6 7" xfId="2395" xr:uid="{5DFE164B-829E-4FBB-AEBF-15796D2FCDF9}"/>
    <cellStyle name="RISKtopEdge 6 7 2" xfId="5777" xr:uid="{2E5FA252-9497-4F41-829F-6AF6F9AA7C21}"/>
    <cellStyle name="RISKtopEdge 6 7 3" xfId="8969" xr:uid="{8903A7F8-1517-430E-B439-5B785DCB688E}"/>
    <cellStyle name="RISKtopEdge 6 8" xfId="2631" xr:uid="{277CFE2D-FAAD-4259-920D-84BA41B3C581}"/>
    <cellStyle name="RISKtopEdge 6 8 2" xfId="6007" xr:uid="{B3D4068B-8AF7-45C0-AC75-898A243CC4C0}"/>
    <cellStyle name="RISKtopEdge 6 8 3" xfId="9199" xr:uid="{D199FC39-53B7-4F9F-BEC9-EA0990052611}"/>
    <cellStyle name="RISKtopEdge 6 9" xfId="2870" xr:uid="{2268336E-5A58-4BFD-A1A4-125BF0C55FA9}"/>
    <cellStyle name="RISKtopEdge 6 9 2" xfId="6240" xr:uid="{5F8926A5-9CE6-4CFE-AC5C-B94FB0451FAA}"/>
    <cellStyle name="RISKtopEdge 6 9 3" xfId="9429" xr:uid="{60DCCD95-A18C-4A45-BAF8-C54066CE3120}"/>
    <cellStyle name="RISKtopEdge 7" xfId="1136" xr:uid="{00000000-0005-0000-0000-0000AE070000}"/>
    <cellStyle name="RISKtopEdge 7 10" xfId="2872" xr:uid="{D601ED61-6A45-4200-8660-4F37ECFCCC17}"/>
    <cellStyle name="RISKtopEdge 7 10 2" xfId="6242" xr:uid="{713A4FDD-8D6A-417A-82EF-D9571A41108D}"/>
    <cellStyle name="RISKtopEdge 7 10 3" xfId="9431" xr:uid="{9A286CDF-636B-4589-884D-1AD029D86275}"/>
    <cellStyle name="RISKtopEdge 7 11" xfId="3077" xr:uid="{B786F911-E91A-4D22-A9A7-00C3E75E3718}"/>
    <cellStyle name="RISKtopEdge 7 11 2" xfId="6475" xr:uid="{29143538-9C13-4077-95F8-207792AB0333}"/>
    <cellStyle name="RISKtopEdge 7 11 3" xfId="9661" xr:uid="{51FD52AC-63E4-4944-9917-2A2367B7FABF}"/>
    <cellStyle name="RISKtopEdge 7 12" xfId="3319" xr:uid="{3011AD70-E313-4EC4-B71A-2641FF298D93}"/>
    <cellStyle name="RISKtopEdge 7 12 2" xfId="6738" xr:uid="{C96BDA81-7FF2-46C4-8ABA-BFE21ACFE6E9}"/>
    <cellStyle name="RISKtopEdge 7 12 3" xfId="9903" xr:uid="{2E06B36A-69E1-4EEF-B427-9ABB24637D9A}"/>
    <cellStyle name="RISKtopEdge 7 13" xfId="7000" xr:uid="{AB36FB08-0818-4160-A8CA-941438398135}"/>
    <cellStyle name="RISKtopEdge 7 13 2" xfId="10145" xr:uid="{A8455F4A-9E12-4C11-92CA-7FAC7D6C7829}"/>
    <cellStyle name="RISKtopEdge 7 14" xfId="7249" xr:uid="{09B0A27A-0F4F-4084-85E3-5C3D19C3FB86}"/>
    <cellStyle name="RISKtopEdge 7 14 2" xfId="10388" xr:uid="{F525BC15-F4C4-499B-8D9E-A1BA1AAFD802}"/>
    <cellStyle name="RISKtopEdge 7 15" xfId="7603" xr:uid="{FE0873D3-4E58-42A3-9EE7-135BE26044E6}"/>
    <cellStyle name="RISKtopEdge 7 15 2" xfId="10737" xr:uid="{BFA6116E-92AC-40E9-A357-CBA5FF1715A6}"/>
    <cellStyle name="RISKtopEdge 7 16" xfId="7741" xr:uid="{66B3EC1B-E185-4DF2-9B23-0EAB35334F4F}"/>
    <cellStyle name="RISKtopEdge 7 16 2" xfId="10874" xr:uid="{EE328509-9780-46C4-ADD6-272C35334B18}"/>
    <cellStyle name="RISKtopEdge 7 17" xfId="4625" xr:uid="{55471BCA-8CCC-4ED8-AA6C-E660A8FE0F82}"/>
    <cellStyle name="RISKtopEdge 7 18" xfId="7845" xr:uid="{89C24E29-9C04-47EA-BC77-9C02C9D4FA68}"/>
    <cellStyle name="RISKtopEdge 7 19" xfId="11127" xr:uid="{4E63D292-8722-421B-8772-C48A52E90CD5}"/>
    <cellStyle name="RISKtopEdge 7 2" xfId="1137" xr:uid="{00000000-0005-0000-0000-0000AF070000}"/>
    <cellStyle name="RISKtopEdge 7 2 10" xfId="3320" xr:uid="{AE87CFBE-E963-48A4-B469-1E96819DD2D0}"/>
    <cellStyle name="RISKtopEdge 7 2 10 2" xfId="6739" xr:uid="{907577D4-FC8A-470C-A3FA-FD94A198A6CE}"/>
    <cellStyle name="RISKtopEdge 7 2 10 3" xfId="9904" xr:uid="{45444A9C-F990-45DF-BFCD-6CECC8A72671}"/>
    <cellStyle name="RISKtopEdge 7 2 11" xfId="7001" xr:uid="{48549AF2-7F33-4C71-BEE4-7DA23DF01933}"/>
    <cellStyle name="RISKtopEdge 7 2 11 2" xfId="10146" xr:uid="{2BB097E2-8A6B-413B-85A8-AE4151FEEB22}"/>
    <cellStyle name="RISKtopEdge 7 2 12" xfId="7250" xr:uid="{FFAF9958-7D7F-4EE6-A3E2-2BB1F9F32267}"/>
    <cellStyle name="RISKtopEdge 7 2 12 2" xfId="10389" xr:uid="{29145EB2-F0B6-421A-BEE9-B6B3DD6E80F0}"/>
    <cellStyle name="RISKtopEdge 7 2 13" xfId="7604" xr:uid="{A072C858-CBDD-4393-B1EC-577D4B61E0DE}"/>
    <cellStyle name="RISKtopEdge 7 2 13 2" xfId="10738" xr:uid="{69CBC0EC-0803-4588-98E6-B93FBC8C2ABA}"/>
    <cellStyle name="RISKtopEdge 7 2 14" xfId="7742" xr:uid="{6D3648BB-BEAF-45F9-A2F8-F6F847C19270}"/>
    <cellStyle name="RISKtopEdge 7 2 14 2" xfId="10875" xr:uid="{E064DF7C-425E-4D10-9BB1-B3F9AA8FA9B6}"/>
    <cellStyle name="RISKtopEdge 7 2 15" xfId="4626" xr:uid="{77B009D3-D3AF-445E-B083-A3DC0BA92DE7}"/>
    <cellStyle name="RISKtopEdge 7 2 16" xfId="7846" xr:uid="{7F013F16-BD64-47C9-BB01-D56BED4286BC}"/>
    <cellStyle name="RISKtopEdge 7 2 17" xfId="11128" xr:uid="{714155AE-8342-486B-A7DC-5EA745E26AD3}"/>
    <cellStyle name="RISKtopEdge 7 2 18" xfId="11544" xr:uid="{A88AC902-AE89-47C4-A186-481424E9B529}"/>
    <cellStyle name="RISKtopEdge 7 2 19" xfId="11693" xr:uid="{330C16F8-A4B8-400D-9C43-108FD5C161AA}"/>
    <cellStyle name="RISKtopEdge 7 2 2" xfId="1396" xr:uid="{00000000-0005-0000-0000-0000B0070000}"/>
    <cellStyle name="RISKtopEdge 7 2 2 2" xfId="3507" xr:uid="{0FE534B8-9CB6-46C9-9D78-6499B0D48BA0}"/>
    <cellStyle name="RISKtopEdge 7 2 2 3" xfId="4813" xr:uid="{DF9AC5FC-8444-47AD-99AE-07DF37096A90}"/>
    <cellStyle name="RISKtopEdge 7 2 2 4" xfId="8023" xr:uid="{01090729-DB1D-445E-A4D9-CA8E07A362D1}"/>
    <cellStyle name="RISKtopEdge 7 2 20" xfId="11797" xr:uid="{E95546FC-056A-49AA-B732-65D8AB708570}"/>
    <cellStyle name="RISKtopEdge 7 2 21" xfId="11987" xr:uid="{87ED4C1F-FCD0-4C95-9F9D-0C70D68C7F19}"/>
    <cellStyle name="RISKtopEdge 7 2 22" xfId="12239" xr:uid="{FF156BC9-1516-4E3A-86EE-533D82E99D43}"/>
    <cellStyle name="RISKtopEdge 7 2 23" xfId="12681" xr:uid="{BCD3A882-6D2A-4659-A7AC-62D0047D7204}"/>
    <cellStyle name="RISKtopEdge 7 2 24" xfId="12846" xr:uid="{A289C452-4280-4DA7-A778-AA4E50781D27}"/>
    <cellStyle name="RISKtopEdge 7 2 25" xfId="12987" xr:uid="{94E14E04-5911-4353-BC0C-EC437FAFF755}"/>
    <cellStyle name="RISKtopEdge 7 2 26" xfId="13349" xr:uid="{75E1EE4A-EE58-497B-B710-74AF6B02F9BE}"/>
    <cellStyle name="RISKtopEdge 7 2 27" xfId="13478" xr:uid="{51A984EA-BAB0-4641-A31F-100993064323}"/>
    <cellStyle name="RISKtopEdge 7 2 3" xfId="1645" xr:uid="{00000000-0005-0000-0000-0000B1070000}"/>
    <cellStyle name="RISKtopEdge 7 2 3 2" xfId="3746" xr:uid="{BA9CB789-1E8D-4FB8-A36E-36E17D9BDE9B}"/>
    <cellStyle name="RISKtopEdge 7 2 3 3" xfId="5054" xr:uid="{889F20B0-61BB-42A0-A522-10B606B17EB1}"/>
    <cellStyle name="RISKtopEdge 7 2 3 4" xfId="8261" xr:uid="{6B68F837-B8F6-47EA-B0E0-A41F8EAEEC46}"/>
    <cellStyle name="RISKtopEdge 7 2 4" xfId="1902" xr:uid="{00000000-0005-0000-0000-0000B2070000}"/>
    <cellStyle name="RISKtopEdge 7 2 4 2" xfId="4002" xr:uid="{9B5624F4-F873-48C4-98A9-9CE1A0D9BB21}"/>
    <cellStyle name="RISKtopEdge 7 2 4 3" xfId="5306" xr:uid="{E0F3E36B-9CD7-4DB5-AADD-0FEF586542AD}"/>
    <cellStyle name="RISKtopEdge 7 2 4 4" xfId="8500" xr:uid="{6569C810-D7BA-4DC3-A02C-0DBCC77859BE}"/>
    <cellStyle name="RISKtopEdge 7 2 5" xfId="2156" xr:uid="{00000000-0005-0000-0000-0000B3070000}"/>
    <cellStyle name="RISKtopEdge 7 2 5 2" xfId="4246" xr:uid="{D0D5617C-7FA6-4DDC-9568-EA4D90CB28AC}"/>
    <cellStyle name="RISKtopEdge 7 2 5 3" xfId="5544" xr:uid="{33578EFA-3E3C-4B1C-BBE9-39AAF47380D1}"/>
    <cellStyle name="RISKtopEdge 7 2 5 4" xfId="8736" xr:uid="{373B6EB9-EF06-472F-8667-C15E6BEE1D0A}"/>
    <cellStyle name="RISKtopEdge 7 2 6" xfId="2398" xr:uid="{1525A34F-316B-4B94-9B58-0E75C9E50B42}"/>
    <cellStyle name="RISKtopEdge 7 2 6 2" xfId="5780" xr:uid="{A814A890-E96E-43FE-87D9-B7659B413A01}"/>
    <cellStyle name="RISKtopEdge 7 2 6 3" xfId="8972" xr:uid="{38776F41-DECD-4469-AFB1-69839FB4C5ED}"/>
    <cellStyle name="RISKtopEdge 7 2 7" xfId="2634" xr:uid="{B6006124-8B0E-4E57-A41D-C772F79A8F7F}"/>
    <cellStyle name="RISKtopEdge 7 2 7 2" xfId="6010" xr:uid="{40D4F442-69E9-4430-B257-4452CFB3967F}"/>
    <cellStyle name="RISKtopEdge 7 2 7 3" xfId="9202" xr:uid="{528EF5A5-2882-4B00-A4A0-A22EB82CF6FE}"/>
    <cellStyle name="RISKtopEdge 7 2 8" xfId="2873" xr:uid="{7241B732-6413-4A86-B782-B5902F080953}"/>
    <cellStyle name="RISKtopEdge 7 2 8 2" xfId="6243" xr:uid="{1D5DC307-D69D-4B96-A547-56D29A0CF3C2}"/>
    <cellStyle name="RISKtopEdge 7 2 8 3" xfId="9432" xr:uid="{9034D206-D202-45EA-A6C8-E977AB917035}"/>
    <cellStyle name="RISKtopEdge 7 2 9" xfId="3078" xr:uid="{D76BD305-DC07-4197-9CAD-F390ACB92DAC}"/>
    <cellStyle name="RISKtopEdge 7 2 9 2" xfId="6476" xr:uid="{C2EE68F1-A19C-4B71-AD62-29920B7BA949}"/>
    <cellStyle name="RISKtopEdge 7 2 9 3" xfId="9662" xr:uid="{F8856764-E05C-4D8E-A515-15C277C0B12A}"/>
    <cellStyle name="RISKtopEdge 7 20" xfId="11543" xr:uid="{E796979D-E9EB-4482-A1DA-F3795619EFDB}"/>
    <cellStyle name="RISKtopEdge 7 21" xfId="11692" xr:uid="{71D761F9-E5C2-4E92-A606-0825192A141F}"/>
    <cellStyle name="RISKtopEdge 7 22" xfId="11796" xr:uid="{410285C5-EFE1-48F6-BA96-6B781250D5A0}"/>
    <cellStyle name="RISKtopEdge 7 23" xfId="11986" xr:uid="{B2CCB5F3-2159-4A84-8753-D7667015DB03}"/>
    <cellStyle name="RISKtopEdge 7 24" xfId="12238" xr:uid="{5C59FA14-A7B4-432B-ACD9-77A1C64C70EE}"/>
    <cellStyle name="RISKtopEdge 7 25" xfId="12680" xr:uid="{82A2D55B-FFA0-480E-898B-C00F0FF9FB1D}"/>
    <cellStyle name="RISKtopEdge 7 26" xfId="12845" xr:uid="{8EFDBE75-CCC9-414E-A006-4CE66638255C}"/>
    <cellStyle name="RISKtopEdge 7 27" xfId="12986" xr:uid="{16CC445E-2134-4FE1-B936-919568569206}"/>
    <cellStyle name="RISKtopEdge 7 28" xfId="13348" xr:uid="{0705664B-F50C-458E-8F2F-0633616B9F7E}"/>
    <cellStyle name="RISKtopEdge 7 29" xfId="13477" xr:uid="{6EFC7E0C-CB49-4022-8D52-48EEDEE08606}"/>
    <cellStyle name="RISKtopEdge 7 3" xfId="1138" xr:uid="{00000000-0005-0000-0000-0000B4070000}"/>
    <cellStyle name="RISKtopEdge 7 3 10" xfId="3321" xr:uid="{46F55ADC-32F2-418D-B360-444CBFB3DE63}"/>
    <cellStyle name="RISKtopEdge 7 3 10 2" xfId="6740" xr:uid="{773F7F45-79E0-4671-BB73-20F24CC3ADCF}"/>
    <cellStyle name="RISKtopEdge 7 3 10 3" xfId="9905" xr:uid="{5F7FF202-9C92-40E6-99BA-26918AF42978}"/>
    <cellStyle name="RISKtopEdge 7 3 11" xfId="7002" xr:uid="{F46A9745-E333-4891-878E-B926714FBB17}"/>
    <cellStyle name="RISKtopEdge 7 3 11 2" xfId="10147" xr:uid="{93FDF164-299E-4C12-877B-CED44D85879E}"/>
    <cellStyle name="RISKtopEdge 7 3 12" xfId="7251" xr:uid="{6B9B1863-A7EE-4B7B-92B6-380C553F48CF}"/>
    <cellStyle name="RISKtopEdge 7 3 12 2" xfId="10390" xr:uid="{9A5E2938-4C40-4B36-82C0-E66E2E68BB21}"/>
    <cellStyle name="RISKtopEdge 7 3 13" xfId="7605" xr:uid="{E464D37F-0C4E-4E69-8643-32FD1078B7D2}"/>
    <cellStyle name="RISKtopEdge 7 3 13 2" xfId="10739" xr:uid="{8425BB6F-8E0D-47A5-8939-5BCBFA7E24E1}"/>
    <cellStyle name="RISKtopEdge 7 3 14" xfId="7743" xr:uid="{ED5AEE80-579A-4BB9-8596-6F6FEB6A41FC}"/>
    <cellStyle name="RISKtopEdge 7 3 14 2" xfId="10876" xr:uid="{C93940C2-4DB8-40F4-ABFE-6D2489AC97CC}"/>
    <cellStyle name="RISKtopEdge 7 3 15" xfId="4627" xr:uid="{BFF2645F-CA30-4591-AC4A-C6DAEB32B99A}"/>
    <cellStyle name="RISKtopEdge 7 3 16" xfId="7847" xr:uid="{7AC70AA0-BDCB-47CF-8C4F-8AB04ED2A8FD}"/>
    <cellStyle name="RISKtopEdge 7 3 17" xfId="11129" xr:uid="{C1138D74-CFBD-41AE-868D-373649F42BFE}"/>
    <cellStyle name="RISKtopEdge 7 3 18" xfId="11545" xr:uid="{DD9C9763-77E0-4B46-B9F0-22E92E04837E}"/>
    <cellStyle name="RISKtopEdge 7 3 19" xfId="11694" xr:uid="{0F6A7FB2-D289-4129-A53F-D0B2A4914025}"/>
    <cellStyle name="RISKtopEdge 7 3 2" xfId="1397" xr:uid="{00000000-0005-0000-0000-0000B5070000}"/>
    <cellStyle name="RISKtopEdge 7 3 2 2" xfId="3508" xr:uid="{AA7567D0-2E77-42E5-9694-602923E0F62C}"/>
    <cellStyle name="RISKtopEdge 7 3 2 3" xfId="4814" xr:uid="{540DEF7A-E0F7-451F-8700-D67F3448D2D7}"/>
    <cellStyle name="RISKtopEdge 7 3 2 4" xfId="8024" xr:uid="{583417C9-DF12-4409-8BCB-CF41D9017D7C}"/>
    <cellStyle name="RISKtopEdge 7 3 20" xfId="11798" xr:uid="{56F42609-5BD9-492F-B35A-AE7596AD5671}"/>
    <cellStyle name="RISKtopEdge 7 3 21" xfId="11988" xr:uid="{3EC3EEE5-E87A-4AF0-8C16-5F8031AF68A8}"/>
    <cellStyle name="RISKtopEdge 7 3 22" xfId="12240" xr:uid="{12D452FF-FDE1-4B51-A53B-A898505A83D2}"/>
    <cellStyle name="RISKtopEdge 7 3 23" xfId="12682" xr:uid="{7E1F9ECF-4807-4607-8A53-9680C959F5B3}"/>
    <cellStyle name="RISKtopEdge 7 3 24" xfId="12847" xr:uid="{EFE0DDEA-1A39-492B-9BC4-BE4024A0CDB2}"/>
    <cellStyle name="RISKtopEdge 7 3 25" xfId="12988" xr:uid="{6C26524E-D080-4BE1-A01E-FEE986FEEB18}"/>
    <cellStyle name="RISKtopEdge 7 3 26" xfId="13350" xr:uid="{96D0901B-AF55-4EFD-A090-7FD14E841E5B}"/>
    <cellStyle name="RISKtopEdge 7 3 27" xfId="13479" xr:uid="{047CA9A4-4A0C-4E2C-A388-768CB82F1690}"/>
    <cellStyle name="RISKtopEdge 7 3 3" xfId="1646" xr:uid="{00000000-0005-0000-0000-0000B6070000}"/>
    <cellStyle name="RISKtopEdge 7 3 3 2" xfId="3747" xr:uid="{621F402B-D9E9-48FE-9AD0-CED743AA0C3A}"/>
    <cellStyle name="RISKtopEdge 7 3 3 3" xfId="5055" xr:uid="{4D900617-E11E-411C-A5C4-F5B46C0B9C37}"/>
    <cellStyle name="RISKtopEdge 7 3 3 4" xfId="8262" xr:uid="{28ED941B-F808-4A72-91D6-52C1F7F89A35}"/>
    <cellStyle name="RISKtopEdge 7 3 4" xfId="1903" xr:uid="{00000000-0005-0000-0000-0000B7070000}"/>
    <cellStyle name="RISKtopEdge 7 3 4 2" xfId="4003" xr:uid="{4FC15F1A-75E3-4BD1-BCE3-AFC7B8B6F16A}"/>
    <cellStyle name="RISKtopEdge 7 3 4 3" xfId="5307" xr:uid="{5174D6E7-FA81-4B19-B844-4FA91013345B}"/>
    <cellStyle name="RISKtopEdge 7 3 4 4" xfId="8501" xr:uid="{B6D671E5-C0E6-4575-865B-2842749B6955}"/>
    <cellStyle name="RISKtopEdge 7 3 5" xfId="2157" xr:uid="{00000000-0005-0000-0000-0000B8070000}"/>
    <cellStyle name="RISKtopEdge 7 3 5 2" xfId="4247" xr:uid="{997E0A42-4932-4DDF-ACA3-081D609F3CFD}"/>
    <cellStyle name="RISKtopEdge 7 3 5 3" xfId="5545" xr:uid="{E0ADB3E8-9FB7-48D5-9D30-EB01CEBAF810}"/>
    <cellStyle name="RISKtopEdge 7 3 5 4" xfId="8737" xr:uid="{F805944D-4B2B-4C7B-8F9F-4F21A3194D99}"/>
    <cellStyle name="RISKtopEdge 7 3 6" xfId="2399" xr:uid="{271C85A8-6411-4CF1-ABF5-E37DC81591D9}"/>
    <cellStyle name="RISKtopEdge 7 3 6 2" xfId="5781" xr:uid="{F1D0AA38-38DE-444D-82C6-EE6155CC6F89}"/>
    <cellStyle name="RISKtopEdge 7 3 6 3" xfId="8973" xr:uid="{0A565431-162E-4486-BD6A-6D27CC0D78E4}"/>
    <cellStyle name="RISKtopEdge 7 3 7" xfId="2635" xr:uid="{9745A1C8-E635-454B-9F61-B2C3A0C75FB0}"/>
    <cellStyle name="RISKtopEdge 7 3 7 2" xfId="6011" xr:uid="{159905C2-B8A0-4306-9E82-BEB3304E3EA1}"/>
    <cellStyle name="RISKtopEdge 7 3 7 3" xfId="9203" xr:uid="{FA117B32-01A0-4473-9FD1-F053E539F1A5}"/>
    <cellStyle name="RISKtopEdge 7 3 8" xfId="2874" xr:uid="{39D8B44C-FEA0-4C72-BC8D-CDA5F6A42CC9}"/>
    <cellStyle name="RISKtopEdge 7 3 8 2" xfId="6244" xr:uid="{AEF4FA1A-5F79-483E-8259-B67D129B4EC9}"/>
    <cellStyle name="RISKtopEdge 7 3 8 3" xfId="9433" xr:uid="{06DA090E-9527-4090-AC08-7B51168B853D}"/>
    <cellStyle name="RISKtopEdge 7 3 9" xfId="3079" xr:uid="{CE3562B2-00A3-48E7-8D20-66407CE4CF1B}"/>
    <cellStyle name="RISKtopEdge 7 3 9 2" xfId="6477" xr:uid="{091710A9-DA81-48B7-BC56-0448DE273D8C}"/>
    <cellStyle name="RISKtopEdge 7 3 9 3" xfId="9663" xr:uid="{9D3DEB35-284F-4B8C-96C3-E342C170F48D}"/>
    <cellStyle name="RISKtopEdge 7 4" xfId="1395" xr:uid="{00000000-0005-0000-0000-0000B9070000}"/>
    <cellStyle name="RISKtopEdge 7 4 2" xfId="3506" xr:uid="{6E5E3836-FC46-4EB2-A672-BA80EDA146D2}"/>
    <cellStyle name="RISKtopEdge 7 4 3" xfId="4812" xr:uid="{E665826D-487F-4362-9971-735EC8322940}"/>
    <cellStyle name="RISKtopEdge 7 4 4" xfId="8022" xr:uid="{D1390D84-041D-4C69-AFA4-F84913DED9FC}"/>
    <cellStyle name="RISKtopEdge 7 5" xfId="1644" xr:uid="{00000000-0005-0000-0000-0000BA070000}"/>
    <cellStyle name="RISKtopEdge 7 5 2" xfId="3745" xr:uid="{5D8EF484-EDC1-4B1F-B813-41A59C4749A0}"/>
    <cellStyle name="RISKtopEdge 7 5 3" xfId="5053" xr:uid="{6D4BA601-7BE8-4704-89DF-B364B347A8E7}"/>
    <cellStyle name="RISKtopEdge 7 5 4" xfId="8260" xr:uid="{C3E68383-9F54-4A05-9138-17D7DAEAEA7C}"/>
    <cellStyle name="RISKtopEdge 7 6" xfId="1901" xr:uid="{00000000-0005-0000-0000-0000BB070000}"/>
    <cellStyle name="RISKtopEdge 7 6 2" xfId="4001" xr:uid="{CACB14D8-034F-49AB-84E5-EEF69FB00631}"/>
    <cellStyle name="RISKtopEdge 7 6 3" xfId="5305" xr:uid="{4AEC1F91-0B86-4FE8-A4C9-C08F14C91EBB}"/>
    <cellStyle name="RISKtopEdge 7 6 4" xfId="8499" xr:uid="{B506EE1C-D6A0-401D-A221-5F0B0A92DC59}"/>
    <cellStyle name="RISKtopEdge 7 7" xfId="2155" xr:uid="{00000000-0005-0000-0000-0000BC070000}"/>
    <cellStyle name="RISKtopEdge 7 7 2" xfId="4245" xr:uid="{805532EA-01D2-4E4D-9D99-200754CFBD9B}"/>
    <cellStyle name="RISKtopEdge 7 7 3" xfId="5543" xr:uid="{027C90A2-783A-4693-8C71-F74F9468A1E6}"/>
    <cellStyle name="RISKtopEdge 7 7 4" xfId="8735" xr:uid="{B337D22D-A234-4AB6-982F-FA00E1B725E1}"/>
    <cellStyle name="RISKtopEdge 7 8" xfId="2397" xr:uid="{71939103-14F4-4E4B-A0A3-4A242497A38A}"/>
    <cellStyle name="RISKtopEdge 7 8 2" xfId="5779" xr:uid="{721440A2-5B49-4BF0-BCA4-A6B6E254AD40}"/>
    <cellStyle name="RISKtopEdge 7 8 3" xfId="8971" xr:uid="{5ACEC38B-AEBD-4521-86E8-EA8DDE957E51}"/>
    <cellStyle name="RISKtopEdge 7 9" xfId="2633" xr:uid="{1D3943F1-B469-4744-B601-490D1B479DAA}"/>
    <cellStyle name="RISKtopEdge 7 9 2" xfId="6009" xr:uid="{185B4E4A-33DA-4291-8740-B54E69007189}"/>
    <cellStyle name="RISKtopEdge 7 9 3" xfId="9201" xr:uid="{EA69CC7E-D938-469E-A3EF-9BFA568A95A5}"/>
    <cellStyle name="RISKtopEdge 8" xfId="1139" xr:uid="{00000000-0005-0000-0000-0000BD070000}"/>
    <cellStyle name="RISKtopEdge 8 10" xfId="3322" xr:uid="{24C848FA-20C1-4A9F-A51A-270D9B0F9E42}"/>
    <cellStyle name="RISKtopEdge 8 10 2" xfId="6741" xr:uid="{ADB46756-29EF-4F9B-AA61-48423B471EA6}"/>
    <cellStyle name="RISKtopEdge 8 10 3" xfId="9906" xr:uid="{42C331FF-85D7-4C6E-82C9-C05D8985CE0C}"/>
    <cellStyle name="RISKtopEdge 8 11" xfId="7003" xr:uid="{0BFFE6AA-87A3-48C2-849A-DCA5A72AB58D}"/>
    <cellStyle name="RISKtopEdge 8 11 2" xfId="10148" xr:uid="{6B9B32B9-4040-4FD1-9C82-B3F3F405412F}"/>
    <cellStyle name="RISKtopEdge 8 12" xfId="7252" xr:uid="{77A44A3D-2A82-4469-9A5B-01F2CD68D2BF}"/>
    <cellStyle name="RISKtopEdge 8 12 2" xfId="10391" xr:uid="{A37DB56D-FDD3-4B78-AF04-B18C0DD3BA33}"/>
    <cellStyle name="RISKtopEdge 8 13" xfId="7606" xr:uid="{8E45908A-677E-4ACA-B3B4-D96B62BD2F58}"/>
    <cellStyle name="RISKtopEdge 8 13 2" xfId="10740" xr:uid="{4FBC5FF8-C5DF-4174-A706-F495876499BC}"/>
    <cellStyle name="RISKtopEdge 8 14" xfId="7744" xr:uid="{CA4D97E4-E777-445F-B63D-2517AC39E9D2}"/>
    <cellStyle name="RISKtopEdge 8 14 2" xfId="10877" xr:uid="{C6565DCE-936B-4238-920B-E182075C19BF}"/>
    <cellStyle name="RISKtopEdge 8 15" xfId="4628" xr:uid="{C74D973E-7A94-4B5A-BAF1-56728DE28A57}"/>
    <cellStyle name="RISKtopEdge 8 16" xfId="7848" xr:uid="{C58FB427-324A-4D68-BB8B-4EB6A2F28486}"/>
    <cellStyle name="RISKtopEdge 8 17" xfId="11130" xr:uid="{8DBF9ED0-8635-417A-82F8-B1E28C7BA0F0}"/>
    <cellStyle name="RISKtopEdge 8 18" xfId="11546" xr:uid="{93F8812D-F4B7-49C4-ADBB-F7D78F8C1F59}"/>
    <cellStyle name="RISKtopEdge 8 19" xfId="11695" xr:uid="{C8F5A006-538B-4EBA-A71A-477092005C0C}"/>
    <cellStyle name="RISKtopEdge 8 2" xfId="1398" xr:uid="{00000000-0005-0000-0000-0000BE070000}"/>
    <cellStyle name="RISKtopEdge 8 2 2" xfId="3509" xr:uid="{454F53E8-E88A-4419-80D8-2C1503CE369C}"/>
    <cellStyle name="RISKtopEdge 8 2 3" xfId="4815" xr:uid="{0DB595A5-D402-46F0-95D1-814D935055DC}"/>
    <cellStyle name="RISKtopEdge 8 2 4" xfId="8025" xr:uid="{1A00C27E-E41C-4D5B-92A9-56B89C749B3C}"/>
    <cellStyle name="RISKtopEdge 8 20" xfId="11799" xr:uid="{143B4CF6-2628-4F5B-8A86-B9256C857B6D}"/>
    <cellStyle name="RISKtopEdge 8 21" xfId="11989" xr:uid="{E34C1073-256E-4B54-8264-7BC7436257E1}"/>
    <cellStyle name="RISKtopEdge 8 22" xfId="12241" xr:uid="{CF61BCDF-2F98-4F6E-AB8F-E882CBF3F8FD}"/>
    <cellStyle name="RISKtopEdge 8 23" xfId="12683" xr:uid="{F99F9316-B931-46C9-AF2D-93A89EB3486C}"/>
    <cellStyle name="RISKtopEdge 8 24" xfId="12848" xr:uid="{A1790DF8-2FFB-4E01-A721-57473A2FC3C9}"/>
    <cellStyle name="RISKtopEdge 8 25" xfId="12989" xr:uid="{3A41E92F-9DC6-45D6-9B62-18355A639290}"/>
    <cellStyle name="RISKtopEdge 8 26" xfId="13351" xr:uid="{E38B26EC-8430-4A54-89F1-E79E5C3B6C9D}"/>
    <cellStyle name="RISKtopEdge 8 27" xfId="13480" xr:uid="{70582D32-FC62-44B7-AAE5-7B8EEF681E6F}"/>
    <cellStyle name="RISKtopEdge 8 3" xfId="1647" xr:uid="{00000000-0005-0000-0000-0000BF070000}"/>
    <cellStyle name="RISKtopEdge 8 3 2" xfId="3748" xr:uid="{18559892-9771-41A0-86DA-B3074B373357}"/>
    <cellStyle name="RISKtopEdge 8 3 3" xfId="5056" xr:uid="{5FB28C32-A2A0-4604-8904-467F9F106BE2}"/>
    <cellStyle name="RISKtopEdge 8 3 4" xfId="8263" xr:uid="{D399EC1B-F900-408C-A799-9E8349063DF5}"/>
    <cellStyle name="RISKtopEdge 8 4" xfId="1904" xr:uid="{00000000-0005-0000-0000-0000C0070000}"/>
    <cellStyle name="RISKtopEdge 8 4 2" xfId="4004" xr:uid="{B905A20D-88C1-4A7B-8B18-A87EFAB52A0C}"/>
    <cellStyle name="RISKtopEdge 8 4 3" xfId="5308" xr:uid="{1FCDDF2C-4510-4B24-9439-EA5DF5DF175D}"/>
    <cellStyle name="RISKtopEdge 8 4 4" xfId="8502" xr:uid="{9656C3C3-C458-4635-8D95-60BB5E18621C}"/>
    <cellStyle name="RISKtopEdge 8 5" xfId="2158" xr:uid="{00000000-0005-0000-0000-0000C1070000}"/>
    <cellStyle name="RISKtopEdge 8 5 2" xfId="4248" xr:uid="{8B0F0662-7698-434D-B39F-BF68B26ABEEC}"/>
    <cellStyle name="RISKtopEdge 8 5 3" xfId="5546" xr:uid="{E0E9C9AB-5E8A-4EBA-A2E3-DEFCEDD69201}"/>
    <cellStyle name="RISKtopEdge 8 5 4" xfId="8738" xr:uid="{7DC43481-63F2-4E2F-8FC7-8152E04D07F0}"/>
    <cellStyle name="RISKtopEdge 8 6" xfId="2400" xr:uid="{23329F72-47DA-4836-BFE6-D714669B2739}"/>
    <cellStyle name="RISKtopEdge 8 6 2" xfId="5782" xr:uid="{EDC56215-E46E-4198-8396-59D5B8EE0C0F}"/>
    <cellStyle name="RISKtopEdge 8 6 3" xfId="8974" xr:uid="{35B51003-BDD5-4E47-AC5A-5D9C420F5EE2}"/>
    <cellStyle name="RISKtopEdge 8 7" xfId="2636" xr:uid="{55F99D51-40AF-4142-833A-0E40962B7FBD}"/>
    <cellStyle name="RISKtopEdge 8 7 2" xfId="6012" xr:uid="{6C753C52-BD46-4960-BF13-2BEA3C62B75D}"/>
    <cellStyle name="RISKtopEdge 8 7 3" xfId="9204" xr:uid="{CF55C3AC-C799-4C48-9080-0229CFF3985C}"/>
    <cellStyle name="RISKtopEdge 8 8" xfId="2875" xr:uid="{83898C71-C5BC-482D-8DF0-15EF957227CB}"/>
    <cellStyle name="RISKtopEdge 8 8 2" xfId="6245" xr:uid="{15D8859E-1F61-473B-9FE2-65AE323EB32B}"/>
    <cellStyle name="RISKtopEdge 8 8 3" xfId="9434" xr:uid="{62E15B0C-9834-4B8E-8E28-6638E489A442}"/>
    <cellStyle name="RISKtopEdge 8 9" xfId="3080" xr:uid="{89E94E30-8FFA-4E51-B556-84B867BCD6A3}"/>
    <cellStyle name="RISKtopEdge 8 9 2" xfId="6478" xr:uid="{0997B65C-B8F6-4B53-9D81-682F2D07BCA0}"/>
    <cellStyle name="RISKtopEdge 8 9 3" xfId="9664" xr:uid="{EA4D3E35-1E71-475B-B327-7B355B293F1D}"/>
    <cellStyle name="RISKtopEdge 9" xfId="1384" xr:uid="{00000000-0005-0000-0000-0000C2070000}"/>
    <cellStyle name="RISKtopEdge 9 2" xfId="3495" xr:uid="{62608B8C-6A3B-4A10-805F-3EA5F6B9CFD5}"/>
    <cellStyle name="RISKtopEdge 9 3" xfId="4801" xr:uid="{B791EF85-FD8A-4433-BD90-ACC72606B6B9}"/>
    <cellStyle name="RISKtopEdge 9 4" xfId="8011" xr:uid="{87961AB8-6592-484F-AA92-7F8F2913B196}"/>
    <cellStyle name="RISKtrCorner" xfId="1140" xr:uid="{00000000-0005-0000-0000-0000C3070000}"/>
    <cellStyle name="RISKtrCorner 10" xfId="1648" xr:uid="{00000000-0005-0000-0000-0000C4070000}"/>
    <cellStyle name="RISKtrCorner 10 2" xfId="3749" xr:uid="{2915EEB2-76FA-4995-99B7-A548EC03D8F2}"/>
    <cellStyle name="RISKtrCorner 10 3" xfId="5057" xr:uid="{25B0009B-B3B4-44B7-A02D-D9BA17DB2DEF}"/>
    <cellStyle name="RISKtrCorner 10 4" xfId="8264" xr:uid="{1FE619E3-6BF6-474B-A324-9E89A659C598}"/>
    <cellStyle name="RISKtrCorner 11" xfId="1905" xr:uid="{00000000-0005-0000-0000-0000C5070000}"/>
    <cellStyle name="RISKtrCorner 11 2" xfId="4005" xr:uid="{66BB0BFE-9B16-4192-8B4E-BBE221980CE6}"/>
    <cellStyle name="RISKtrCorner 11 3" xfId="5309" xr:uid="{C499DD4E-0671-4417-9590-3AEC0240707C}"/>
    <cellStyle name="RISKtrCorner 11 4" xfId="8503" xr:uid="{9043B731-2C11-4794-A86E-C742745BD40B}"/>
    <cellStyle name="RISKtrCorner 12" xfId="2159" xr:uid="{00000000-0005-0000-0000-0000C6070000}"/>
    <cellStyle name="RISKtrCorner 12 2" xfId="4249" xr:uid="{0A00B2C7-FAD2-43DB-8C49-B33B66523850}"/>
    <cellStyle name="RISKtrCorner 12 3" xfId="5547" xr:uid="{5E06E4BD-7E3E-49BE-95F3-7279BBB3FBB2}"/>
    <cellStyle name="RISKtrCorner 12 4" xfId="8739" xr:uid="{E9A30675-5095-485A-89FC-9162631A42DF}"/>
    <cellStyle name="RISKtrCorner 13" xfId="2401" xr:uid="{1FEA62B8-0236-428A-BCBC-6BB20C3EE9A3}"/>
    <cellStyle name="RISKtrCorner 13 2" xfId="5783" xr:uid="{E43B438A-36E5-456A-9F2A-68BA6A343083}"/>
    <cellStyle name="RISKtrCorner 13 3" xfId="8975" xr:uid="{0022A766-9022-4636-B96C-C194047855AA}"/>
    <cellStyle name="RISKtrCorner 14" xfId="2637" xr:uid="{C7662111-281A-4C91-8C00-A71D2EB2DCCC}"/>
    <cellStyle name="RISKtrCorner 14 2" xfId="6013" xr:uid="{B3C63B83-BFF3-41A8-A24B-D4D571EA7542}"/>
    <cellStyle name="RISKtrCorner 14 3" xfId="9205" xr:uid="{C14F89A0-DE41-4EFB-B23F-CDCCA6E4413A}"/>
    <cellStyle name="RISKtrCorner 15" xfId="2876" xr:uid="{0BF75D40-32EA-4B2E-8DB5-962E94B83075}"/>
    <cellStyle name="RISKtrCorner 15 2" xfId="6246" xr:uid="{F043E5D5-37FD-4156-A867-CCDD2FD64717}"/>
    <cellStyle name="RISKtrCorner 15 3" xfId="9435" xr:uid="{7247CB4A-0643-4739-B65D-0AF2C547CF5B}"/>
    <cellStyle name="RISKtrCorner 16" xfId="3081" xr:uid="{201024C4-FD7D-44C1-A87A-3BBEBD3CACA1}"/>
    <cellStyle name="RISKtrCorner 16 2" xfId="6479" xr:uid="{932DA2AC-751A-4320-A1C4-94A7B1E0C25E}"/>
    <cellStyle name="RISKtrCorner 16 3" xfId="9665" xr:uid="{CF204805-5B6C-4199-8540-6D1507F55AE1}"/>
    <cellStyle name="RISKtrCorner 17" xfId="3323" xr:uid="{A72AB06D-E046-4673-9D58-3A619A9FC976}"/>
    <cellStyle name="RISKtrCorner 17 2" xfId="6742" xr:uid="{03613494-E6CF-4E33-8A8B-39A4F01FEB7A}"/>
    <cellStyle name="RISKtrCorner 17 3" xfId="9907" xr:uid="{CCECC9F9-E865-4D8F-92F7-F4D42F8D4D06}"/>
    <cellStyle name="RISKtrCorner 18" xfId="7004" xr:uid="{2DF96B3A-C953-479C-A4EC-067A87DDF2AE}"/>
    <cellStyle name="RISKtrCorner 18 2" xfId="10149" xr:uid="{64D61065-5181-405E-B99D-97858C595691}"/>
    <cellStyle name="RISKtrCorner 19" xfId="7253" xr:uid="{C5FFD750-E0BF-4809-8C9F-DF05813625B2}"/>
    <cellStyle name="RISKtrCorner 19 2" xfId="10392" xr:uid="{87C67189-BDB2-4050-9A16-1F8763EE4110}"/>
    <cellStyle name="RISKtrCorner 2" xfId="1141" xr:uid="{00000000-0005-0000-0000-0000C7070000}"/>
    <cellStyle name="RISKtrCorner 2 10" xfId="3082" xr:uid="{436E2B49-D564-4891-AA78-C75C4DCF0712}"/>
    <cellStyle name="RISKtrCorner 2 10 2" xfId="6480" xr:uid="{CC0C2E76-87E1-456F-B28D-D8D0F83483D7}"/>
    <cellStyle name="RISKtrCorner 2 10 3" xfId="9666" xr:uid="{56D3E0D8-A823-4527-8458-B2AE9AF8DB50}"/>
    <cellStyle name="RISKtrCorner 2 11" xfId="3324" xr:uid="{EF426692-391F-4C6D-A614-203D25918A92}"/>
    <cellStyle name="RISKtrCorner 2 11 2" xfId="6743" xr:uid="{46E8B5BC-293B-48C3-9A7D-C23452B94139}"/>
    <cellStyle name="RISKtrCorner 2 11 3" xfId="9908" xr:uid="{08EA75A2-486E-4669-96CE-0AF155AEEA9F}"/>
    <cellStyle name="RISKtrCorner 2 12" xfId="7005" xr:uid="{988DA6F1-73E8-4186-ADED-53C403107C20}"/>
    <cellStyle name="RISKtrCorner 2 12 2" xfId="10150" xr:uid="{21F13A86-3F31-41AD-9C9E-497538DD1749}"/>
    <cellStyle name="RISKtrCorner 2 13" xfId="7254" xr:uid="{97DEE586-2976-46F5-AE1F-5ADB2712372E}"/>
    <cellStyle name="RISKtrCorner 2 13 2" xfId="10393" xr:uid="{28762E3B-5626-400C-B1CD-C748F26969C3}"/>
    <cellStyle name="RISKtrCorner 2 14" xfId="7608" xr:uid="{79CEAA04-4041-476F-85D7-5B501A26A9D7}"/>
    <cellStyle name="RISKtrCorner 2 14 2" xfId="10742" xr:uid="{A4FE7CA7-4774-41A5-AE36-BD53237F47DC}"/>
    <cellStyle name="RISKtrCorner 2 15" xfId="7746" xr:uid="{C27A47B2-11A1-4392-81B5-DF58802BEAE6}"/>
    <cellStyle name="RISKtrCorner 2 15 2" xfId="10879" xr:uid="{F865C155-51CD-4B10-AC2D-4F5F83EF359C}"/>
    <cellStyle name="RISKtrCorner 2 16" xfId="4630" xr:uid="{B0DE97BA-4E1B-42F1-B213-1FEDACA73D0B}"/>
    <cellStyle name="RISKtrCorner 2 17" xfId="7850" xr:uid="{54438DD2-1537-46CB-8070-83EF71EE6042}"/>
    <cellStyle name="RISKtrCorner 2 18" xfId="11132" xr:uid="{DDF447D2-A10A-427A-B20B-FDBD2EBF32B3}"/>
    <cellStyle name="RISKtrCorner 2 19" xfId="11548" xr:uid="{263A9207-F77A-4601-A329-12BD5C31DF66}"/>
    <cellStyle name="RISKtrCorner 2 2" xfId="1142" xr:uid="{00000000-0005-0000-0000-0000C8070000}"/>
    <cellStyle name="RISKtrCorner 2 2 10" xfId="3325" xr:uid="{63070502-0A46-48B4-B948-FA9327D593CB}"/>
    <cellStyle name="RISKtrCorner 2 2 10 2" xfId="6744" xr:uid="{64012923-3912-437A-98F0-3077AF845DE5}"/>
    <cellStyle name="RISKtrCorner 2 2 10 3" xfId="9909" xr:uid="{9AC78A7B-05BF-4104-8577-53958BBC699F}"/>
    <cellStyle name="RISKtrCorner 2 2 11" xfId="7006" xr:uid="{F9C529E9-EB25-4AD7-AC01-62D734D9CE3D}"/>
    <cellStyle name="RISKtrCorner 2 2 11 2" xfId="10151" xr:uid="{C05D8866-098E-4D48-95A5-05C41D4144E0}"/>
    <cellStyle name="RISKtrCorner 2 2 12" xfId="7255" xr:uid="{0D1A8106-60B2-4D84-A700-CF5EB9A28BC3}"/>
    <cellStyle name="RISKtrCorner 2 2 12 2" xfId="10394" xr:uid="{D5A30B05-C528-4CF2-814E-5106FDA30BC8}"/>
    <cellStyle name="RISKtrCorner 2 2 13" xfId="7609" xr:uid="{9969CAF8-D969-40E7-B4A6-A7CF1E912DF4}"/>
    <cellStyle name="RISKtrCorner 2 2 13 2" xfId="10743" xr:uid="{411CD09B-F1D1-4825-B86B-A07C4919C16C}"/>
    <cellStyle name="RISKtrCorner 2 2 14" xfId="7747" xr:uid="{504F9EC8-F751-48DA-AD4E-FAF2BFBD092A}"/>
    <cellStyle name="RISKtrCorner 2 2 14 2" xfId="10880" xr:uid="{FFF8BFFB-32C8-40B4-8DAB-89B920780AEB}"/>
    <cellStyle name="RISKtrCorner 2 2 15" xfId="4631" xr:uid="{33847989-1BEF-4609-B67E-48938BFFA556}"/>
    <cellStyle name="RISKtrCorner 2 2 16" xfId="7851" xr:uid="{F88C61F4-1CF8-4D4E-BE0E-1862D503AE7E}"/>
    <cellStyle name="RISKtrCorner 2 2 17" xfId="11133" xr:uid="{0D14C733-2FE9-4B8E-82D9-437FA812DB21}"/>
    <cellStyle name="RISKtrCorner 2 2 18" xfId="11549" xr:uid="{F1D7EAEE-E43B-4166-B69C-2CB9BA1A8011}"/>
    <cellStyle name="RISKtrCorner 2 2 19" xfId="11698" xr:uid="{07764E67-EDFA-4D18-AE86-DCFCF29784BA}"/>
    <cellStyle name="RISKtrCorner 2 2 2" xfId="1401" xr:uid="{00000000-0005-0000-0000-0000C9070000}"/>
    <cellStyle name="RISKtrCorner 2 2 2 2" xfId="3512" xr:uid="{0F193ADA-CB54-4026-A12B-EF9ABD645A09}"/>
    <cellStyle name="RISKtrCorner 2 2 2 3" xfId="4818" xr:uid="{ABE2D251-7870-41C2-8597-8A9F0B382BCE}"/>
    <cellStyle name="RISKtrCorner 2 2 2 4" xfId="8028" xr:uid="{7C0BEE01-2332-4046-97BA-C44793DB86D5}"/>
    <cellStyle name="RISKtrCorner 2 2 20" xfId="11992" xr:uid="{DC589711-C9F4-4AE7-8CDB-15778444953C}"/>
    <cellStyle name="RISKtrCorner 2 2 21" xfId="12244" xr:uid="{B5D97C61-705E-4D60-A544-F373B36BFBC8}"/>
    <cellStyle name="RISKtrCorner 2 2 22" xfId="12686" xr:uid="{7D767570-2A2C-488E-8ED7-D92DD3E59EAA}"/>
    <cellStyle name="RISKtrCorner 2 2 23" xfId="12851" xr:uid="{41A82344-5AE3-4082-BFFE-04F8055D5BF2}"/>
    <cellStyle name="RISKtrCorner 2 2 24" xfId="12992" xr:uid="{E85B160D-D6D0-4997-9E6B-5B48B5BB7495}"/>
    <cellStyle name="RISKtrCorner 2 2 25" xfId="13354" xr:uid="{B7B06DC4-058F-45E9-B33C-D01B73585C94}"/>
    <cellStyle name="RISKtrCorner 2 2 26" xfId="13483" xr:uid="{1C5784B7-5EF2-4DBB-9391-11884C215FB2}"/>
    <cellStyle name="RISKtrCorner 2 2 3" xfId="1650" xr:uid="{00000000-0005-0000-0000-0000CA070000}"/>
    <cellStyle name="RISKtrCorner 2 2 3 2" xfId="3751" xr:uid="{17790544-5A53-4435-97F3-A1D63DEE3FA0}"/>
    <cellStyle name="RISKtrCorner 2 2 3 3" xfId="5059" xr:uid="{5D8F9C8B-E9AE-4F77-A78D-41A468AB45F6}"/>
    <cellStyle name="RISKtrCorner 2 2 3 4" xfId="8266" xr:uid="{6DAD80C0-62CD-43AC-A035-FEAFB77FD777}"/>
    <cellStyle name="RISKtrCorner 2 2 4" xfId="1907" xr:uid="{00000000-0005-0000-0000-0000CB070000}"/>
    <cellStyle name="RISKtrCorner 2 2 4 2" xfId="4007" xr:uid="{6B041969-43C8-41E1-867F-878BFA708C0F}"/>
    <cellStyle name="RISKtrCorner 2 2 4 3" xfId="5311" xr:uid="{890CDEDC-BD27-4EAF-AC1A-23872034F9AD}"/>
    <cellStyle name="RISKtrCorner 2 2 4 4" xfId="8505" xr:uid="{78A8442C-D771-4D94-B613-6D877743BADF}"/>
    <cellStyle name="RISKtrCorner 2 2 5" xfId="2161" xr:uid="{00000000-0005-0000-0000-0000CC070000}"/>
    <cellStyle name="RISKtrCorner 2 2 5 2" xfId="4251" xr:uid="{A79A9935-A458-44A6-BF4B-3CBAB4C3A207}"/>
    <cellStyle name="RISKtrCorner 2 2 5 3" xfId="5549" xr:uid="{0640E757-EBFB-416B-A3E3-8ACF3364AAC4}"/>
    <cellStyle name="RISKtrCorner 2 2 5 4" xfId="8741" xr:uid="{6416EB5F-0066-4F73-B14D-DE81AE7101A0}"/>
    <cellStyle name="RISKtrCorner 2 2 6" xfId="2403" xr:uid="{9DD74443-D266-4679-BBDC-2186C3F95080}"/>
    <cellStyle name="RISKtrCorner 2 2 6 2" xfId="5785" xr:uid="{7195E9F3-1F0E-4C7E-872B-C90E591D7C60}"/>
    <cellStyle name="RISKtrCorner 2 2 6 3" xfId="8977" xr:uid="{CBCD8812-62CE-49F0-BDE4-107ABFB5DF83}"/>
    <cellStyle name="RISKtrCorner 2 2 7" xfId="2639" xr:uid="{775822B1-6C38-42B6-99B8-5C51A8E593A9}"/>
    <cellStyle name="RISKtrCorner 2 2 7 2" xfId="6015" xr:uid="{E59BA8E3-22DF-450F-B556-76AEA8DDAD6B}"/>
    <cellStyle name="RISKtrCorner 2 2 7 3" xfId="9207" xr:uid="{60C15FA6-EB84-4CBE-ABB0-D7EC919D0651}"/>
    <cellStyle name="RISKtrCorner 2 2 8" xfId="2878" xr:uid="{C76D1211-94FE-4795-9B41-77FBDCB3DA61}"/>
    <cellStyle name="RISKtrCorner 2 2 8 2" xfId="6248" xr:uid="{59D8CE33-756C-49BC-AA63-81426F445B95}"/>
    <cellStyle name="RISKtrCorner 2 2 8 3" xfId="9437" xr:uid="{2FAD1C7C-0A99-401B-AEC3-DC9E50449AAB}"/>
    <cellStyle name="RISKtrCorner 2 2 9" xfId="3083" xr:uid="{7FA12F30-769C-4DCA-811D-99A47D38CB13}"/>
    <cellStyle name="RISKtrCorner 2 2 9 2" xfId="6481" xr:uid="{8249949A-3D01-46D2-B6F6-5539F38AED16}"/>
    <cellStyle name="RISKtrCorner 2 2 9 3" xfId="9667" xr:uid="{E5DE8B67-1461-45F0-8E2F-F469BDCEEDD7}"/>
    <cellStyle name="RISKtrCorner 2 20" xfId="11697" xr:uid="{652E28DB-92FC-40D1-8C98-145586F1ED86}"/>
    <cellStyle name="RISKtrCorner 2 21" xfId="11991" xr:uid="{991A01A3-EAB6-4217-9F08-462BC1976B82}"/>
    <cellStyle name="RISKtrCorner 2 22" xfId="12243" xr:uid="{D07D5870-F636-40FF-9C0E-41A771662488}"/>
    <cellStyle name="RISKtrCorner 2 23" xfId="12685" xr:uid="{CAE30FAB-2303-4076-83C0-2101454F1D0A}"/>
    <cellStyle name="RISKtrCorner 2 24" xfId="12850" xr:uid="{79F2B1BE-366E-4D6D-80D0-ECAFF0C8972C}"/>
    <cellStyle name="RISKtrCorner 2 25" xfId="12991" xr:uid="{46087EF5-B7EA-4845-ABF5-BFA99A57A19A}"/>
    <cellStyle name="RISKtrCorner 2 26" xfId="13353" xr:uid="{7784130E-4F67-4F68-A772-A61CF9BB6AD6}"/>
    <cellStyle name="RISKtrCorner 2 27" xfId="13482" xr:uid="{EBA95FAB-1069-43FB-A497-6363BF7DADC3}"/>
    <cellStyle name="RISKtrCorner 2 3" xfId="1400" xr:uid="{00000000-0005-0000-0000-0000CD070000}"/>
    <cellStyle name="RISKtrCorner 2 3 2" xfId="3511" xr:uid="{A2160B64-1F02-4DFF-A870-8EE1F8164EDF}"/>
    <cellStyle name="RISKtrCorner 2 3 3" xfId="4817" xr:uid="{8EA023FF-FD69-4838-8B24-7FB310EA12A5}"/>
    <cellStyle name="RISKtrCorner 2 3 4" xfId="8027" xr:uid="{025A065C-7BAF-4F65-B592-D1A09B42570F}"/>
    <cellStyle name="RISKtrCorner 2 4" xfId="1649" xr:uid="{00000000-0005-0000-0000-0000CE070000}"/>
    <cellStyle name="RISKtrCorner 2 4 2" xfId="3750" xr:uid="{6ADDF4CA-B09A-4D31-873F-4B75612B3153}"/>
    <cellStyle name="RISKtrCorner 2 4 3" xfId="5058" xr:uid="{26A30C12-06D0-425B-BB84-C23BCF328D44}"/>
    <cellStyle name="RISKtrCorner 2 4 4" xfId="8265" xr:uid="{BE58FB8E-96B2-4A71-9B3E-7373F165A0CE}"/>
    <cellStyle name="RISKtrCorner 2 5" xfId="1906" xr:uid="{00000000-0005-0000-0000-0000CF070000}"/>
    <cellStyle name="RISKtrCorner 2 5 2" xfId="4006" xr:uid="{B13B54D0-C45A-4C56-BA80-4B5467525D95}"/>
    <cellStyle name="RISKtrCorner 2 5 3" xfId="5310" xr:uid="{A3632705-6035-40E9-8C2D-0ABAD652679E}"/>
    <cellStyle name="RISKtrCorner 2 5 4" xfId="8504" xr:uid="{FD942589-DC43-4677-BD23-164802F832B5}"/>
    <cellStyle name="RISKtrCorner 2 6" xfId="2160" xr:uid="{00000000-0005-0000-0000-0000D0070000}"/>
    <cellStyle name="RISKtrCorner 2 6 2" xfId="4250" xr:uid="{7B984E09-619E-41CC-AF48-72236E048562}"/>
    <cellStyle name="RISKtrCorner 2 6 3" xfId="5548" xr:uid="{AE7CF4BC-F724-4349-AF1B-B1BD94CBAE46}"/>
    <cellStyle name="RISKtrCorner 2 6 4" xfId="8740" xr:uid="{288B3755-F44D-491D-8EAA-DE2461FED25F}"/>
    <cellStyle name="RISKtrCorner 2 7" xfId="2402" xr:uid="{6AEC5494-DAE4-42C5-9893-151F40B9D239}"/>
    <cellStyle name="RISKtrCorner 2 7 2" xfId="5784" xr:uid="{D9C0A924-A6FB-4D21-B05D-2970821CE145}"/>
    <cellStyle name="RISKtrCorner 2 7 3" xfId="8976" xr:uid="{B5091318-CFD7-4A8F-A7A5-8499CD99C2F4}"/>
    <cellStyle name="RISKtrCorner 2 8" xfId="2638" xr:uid="{A2BA091D-6304-41EF-A8A5-9BE5B4504149}"/>
    <cellStyle name="RISKtrCorner 2 8 2" xfId="6014" xr:uid="{E1B480C6-5FB7-4CAE-9019-45C5E405A221}"/>
    <cellStyle name="RISKtrCorner 2 8 3" xfId="9206" xr:uid="{A1A99BDC-3229-418E-A272-E63580BCD392}"/>
    <cellStyle name="RISKtrCorner 2 9" xfId="2877" xr:uid="{F75CB998-EAED-48C6-8B84-548A5A18A732}"/>
    <cellStyle name="RISKtrCorner 2 9 2" xfId="6247" xr:uid="{0C4C10C7-ACCD-4553-A4B0-8CE27E7CE426}"/>
    <cellStyle name="RISKtrCorner 2 9 3" xfId="9436" xr:uid="{D01EEA3E-1930-47BD-ADED-39FE490602FF}"/>
    <cellStyle name="RISKtrCorner 20" xfId="7607" xr:uid="{4933AED7-C886-4325-A4C2-5CA16F5FF261}"/>
    <cellStyle name="RISKtrCorner 20 2" xfId="10741" xr:uid="{ACFACD1B-E620-4D89-8CD9-7B47D674C997}"/>
    <cellStyle name="RISKtrCorner 21" xfId="7745" xr:uid="{79A91858-FF65-4A06-9BF7-04D786FF378C}"/>
    <cellStyle name="RISKtrCorner 21 2" xfId="10878" xr:uid="{FF3BDA7F-A4E7-4992-B531-38428241FB57}"/>
    <cellStyle name="RISKtrCorner 22" xfId="4629" xr:uid="{DD16FD05-135C-46D3-8901-FC042CDA3098}"/>
    <cellStyle name="RISKtrCorner 23" xfId="7849" xr:uid="{136C9D0C-CB76-45C4-A5F4-A49065362FB0}"/>
    <cellStyle name="RISKtrCorner 24" xfId="11131" xr:uid="{C0E926C5-6D76-423D-8FA1-4DE9D60DD935}"/>
    <cellStyle name="RISKtrCorner 25" xfId="11547" xr:uid="{29F6E82A-7F6C-448E-B0D7-18AC2A76A1EB}"/>
    <cellStyle name="RISKtrCorner 26" xfId="11696" xr:uid="{C2210ED2-6400-482C-B054-54BCFDF137F8}"/>
    <cellStyle name="RISKtrCorner 27" xfId="11990" xr:uid="{C50A1881-353E-49A0-8E62-B7551FA6EA74}"/>
    <cellStyle name="RISKtrCorner 28" xfId="12242" xr:uid="{905230AF-9D4C-4333-86BF-569D2AFB2D5D}"/>
    <cellStyle name="RISKtrCorner 29" xfId="12684" xr:uid="{8DF202FE-B3E4-43D1-A642-CCAAAE9CD0FC}"/>
    <cellStyle name="RISKtrCorner 3" xfId="1143" xr:uid="{00000000-0005-0000-0000-0000D1070000}"/>
    <cellStyle name="RISKtrCorner 3 10" xfId="3084" xr:uid="{9B966492-551A-4D2E-9C09-E6AE67A03AB0}"/>
    <cellStyle name="RISKtrCorner 3 10 2" xfId="6482" xr:uid="{BD8095EF-E238-4025-9226-18244C3DB68D}"/>
    <cellStyle name="RISKtrCorner 3 10 3" xfId="9668" xr:uid="{C69FF97B-78E8-4FF8-A5B8-B7D970330D0F}"/>
    <cellStyle name="RISKtrCorner 3 11" xfId="3326" xr:uid="{DFFFCB55-96B4-48C6-B793-52E072D15B6E}"/>
    <cellStyle name="RISKtrCorner 3 11 2" xfId="6745" xr:uid="{8D3F9DC4-65DF-4F10-BDD6-9383687C9635}"/>
    <cellStyle name="RISKtrCorner 3 11 3" xfId="9910" xr:uid="{FC7E2A6B-6A72-4B4C-B34C-4A822EE3AACE}"/>
    <cellStyle name="RISKtrCorner 3 12" xfId="7007" xr:uid="{73260125-1B14-4A66-B303-784314BDA7DE}"/>
    <cellStyle name="RISKtrCorner 3 12 2" xfId="10152" xr:uid="{C508A014-8780-4318-9865-E1166B9DA183}"/>
    <cellStyle name="RISKtrCorner 3 13" xfId="7256" xr:uid="{1983206F-586E-421C-BEA1-13AD20CECC8F}"/>
    <cellStyle name="RISKtrCorner 3 13 2" xfId="10395" xr:uid="{6D0D3519-F53E-457B-9E09-9748FFE643AA}"/>
    <cellStyle name="RISKtrCorner 3 14" xfId="7610" xr:uid="{D07D462D-ABD1-4D88-AAF0-1D32DCCF3FA7}"/>
    <cellStyle name="RISKtrCorner 3 14 2" xfId="10744" xr:uid="{AE73ECE2-7F7F-4B8F-AA06-38AFE8B56A1B}"/>
    <cellStyle name="RISKtrCorner 3 15" xfId="7748" xr:uid="{37B64201-74FC-46CF-9C8D-998B0739ABF0}"/>
    <cellStyle name="RISKtrCorner 3 15 2" xfId="10881" xr:uid="{ADDABD85-886C-4A1C-956E-0D4B8B08D298}"/>
    <cellStyle name="RISKtrCorner 3 16" xfId="4632" xr:uid="{88EEF5E1-253F-4628-9C79-89B178E41A32}"/>
    <cellStyle name="RISKtrCorner 3 17" xfId="7852" xr:uid="{306C8CEC-0673-49E4-8AB4-4A97DDCD31FD}"/>
    <cellStyle name="RISKtrCorner 3 18" xfId="11134" xr:uid="{B997051D-F45D-4EEF-9434-0F5759892D18}"/>
    <cellStyle name="RISKtrCorner 3 19" xfId="11550" xr:uid="{56FC3CAE-C9C4-4FCE-87F1-3E2F95BF3537}"/>
    <cellStyle name="RISKtrCorner 3 2" xfId="1144" xr:uid="{00000000-0005-0000-0000-0000D2070000}"/>
    <cellStyle name="RISKtrCorner 3 2 10" xfId="3327" xr:uid="{49AEC9F2-C320-4792-BA11-010C0BCC273F}"/>
    <cellStyle name="RISKtrCorner 3 2 10 2" xfId="6746" xr:uid="{3FF535D0-EF77-4907-B7BC-4AE208CFFA2B}"/>
    <cellStyle name="RISKtrCorner 3 2 10 3" xfId="9911" xr:uid="{43335C0B-461F-4477-859F-A13B013FC7CE}"/>
    <cellStyle name="RISKtrCorner 3 2 11" xfId="7008" xr:uid="{A57AF563-85BB-48EB-A1CB-563AE982F627}"/>
    <cellStyle name="RISKtrCorner 3 2 11 2" xfId="10153" xr:uid="{D08C6A56-8615-4328-8327-78E2243AA0DB}"/>
    <cellStyle name="RISKtrCorner 3 2 12" xfId="7257" xr:uid="{ED815D95-187C-47C3-8245-DE67B3663549}"/>
    <cellStyle name="RISKtrCorner 3 2 12 2" xfId="10396" xr:uid="{267A501F-CC49-4871-AE6E-819C20FD9006}"/>
    <cellStyle name="RISKtrCorner 3 2 13" xfId="7611" xr:uid="{3DE738B5-C7B1-40B0-B5F0-B9D1424234BD}"/>
    <cellStyle name="RISKtrCorner 3 2 13 2" xfId="10745" xr:uid="{A0B4E6EE-D95D-4801-9495-0CC0FB2B06EB}"/>
    <cellStyle name="RISKtrCorner 3 2 14" xfId="7749" xr:uid="{55EAC0D5-5E0D-4314-A771-6643326A3B03}"/>
    <cellStyle name="RISKtrCorner 3 2 14 2" xfId="10882" xr:uid="{2254C3C2-16C3-4748-B38D-79307F2557BE}"/>
    <cellStyle name="RISKtrCorner 3 2 15" xfId="4633" xr:uid="{4423BDE6-5C70-4B08-95D9-7D05C2AF206B}"/>
    <cellStyle name="RISKtrCorner 3 2 16" xfId="7853" xr:uid="{09731DDF-FA5D-4E74-8244-7B5909BC407B}"/>
    <cellStyle name="RISKtrCorner 3 2 17" xfId="11135" xr:uid="{3E7804E9-D386-4B4D-A4FE-2B4A46060EB8}"/>
    <cellStyle name="RISKtrCorner 3 2 18" xfId="11551" xr:uid="{E3C19ED5-0DAF-4DF4-B464-EC258624D425}"/>
    <cellStyle name="RISKtrCorner 3 2 19" xfId="11700" xr:uid="{C8F30D6E-DF74-4FEA-9F7C-51E4A35AA8A9}"/>
    <cellStyle name="RISKtrCorner 3 2 2" xfId="1403" xr:uid="{00000000-0005-0000-0000-0000D3070000}"/>
    <cellStyle name="RISKtrCorner 3 2 2 2" xfId="3514" xr:uid="{E261F4E0-A27C-4FAC-BB8C-A9D19A8FF1C9}"/>
    <cellStyle name="RISKtrCorner 3 2 2 3" xfId="4820" xr:uid="{1EB60A02-4476-4AF7-AA30-920C78DF724B}"/>
    <cellStyle name="RISKtrCorner 3 2 2 4" xfId="8030" xr:uid="{5AC02591-5D90-442D-8D2E-A140F24FA61C}"/>
    <cellStyle name="RISKtrCorner 3 2 20" xfId="11994" xr:uid="{87150D08-19DE-4D35-A650-5B3B09A4604C}"/>
    <cellStyle name="RISKtrCorner 3 2 21" xfId="12246" xr:uid="{7AFD1AE8-1A9A-4A9D-8DBE-EE6750384DD0}"/>
    <cellStyle name="RISKtrCorner 3 2 22" xfId="12688" xr:uid="{93908298-203F-4507-AA61-7DD127C08A38}"/>
    <cellStyle name="RISKtrCorner 3 2 23" xfId="12853" xr:uid="{E1A8D368-D9BE-469A-B42A-7C31DB682E18}"/>
    <cellStyle name="RISKtrCorner 3 2 24" xfId="12994" xr:uid="{2394102F-CBC4-42B4-B42A-B8DB7A1BC291}"/>
    <cellStyle name="RISKtrCorner 3 2 25" xfId="13356" xr:uid="{05587A62-6642-4E4D-B4FB-B2E2E13AFC52}"/>
    <cellStyle name="RISKtrCorner 3 2 26" xfId="13485" xr:uid="{EFB60695-E0F0-4574-BB2C-5B2A62C0C468}"/>
    <cellStyle name="RISKtrCorner 3 2 3" xfId="1652" xr:uid="{00000000-0005-0000-0000-0000D4070000}"/>
    <cellStyle name="RISKtrCorner 3 2 3 2" xfId="3753" xr:uid="{F5CAD6AE-CB2D-42FD-A700-31E1248DBDB5}"/>
    <cellStyle name="RISKtrCorner 3 2 3 3" xfId="5061" xr:uid="{08B11B9B-6D76-493F-9241-049151C2A79B}"/>
    <cellStyle name="RISKtrCorner 3 2 3 4" xfId="8268" xr:uid="{25DFF59E-8FA8-40E7-ABFE-E519BF8DEEF7}"/>
    <cellStyle name="RISKtrCorner 3 2 4" xfId="1909" xr:uid="{00000000-0005-0000-0000-0000D5070000}"/>
    <cellStyle name="RISKtrCorner 3 2 4 2" xfId="4009" xr:uid="{26C22231-E1A9-41E5-A17E-683329E2278B}"/>
    <cellStyle name="RISKtrCorner 3 2 4 3" xfId="5313" xr:uid="{B3291FA3-CFF0-4EF5-AE7A-D49DE323C4D5}"/>
    <cellStyle name="RISKtrCorner 3 2 4 4" xfId="8507" xr:uid="{60B45285-A837-4460-9AA9-32C3BE02EE14}"/>
    <cellStyle name="RISKtrCorner 3 2 5" xfId="2163" xr:uid="{00000000-0005-0000-0000-0000D6070000}"/>
    <cellStyle name="RISKtrCorner 3 2 5 2" xfId="4253" xr:uid="{120359DD-F810-44CF-A110-7F74A901C860}"/>
    <cellStyle name="RISKtrCorner 3 2 5 3" xfId="5551" xr:uid="{25A9D64D-5EAC-4D24-BBCF-6323A9A4E607}"/>
    <cellStyle name="RISKtrCorner 3 2 5 4" xfId="8743" xr:uid="{991F9D83-78E6-4593-9B19-695DD7D005D4}"/>
    <cellStyle name="RISKtrCorner 3 2 6" xfId="2405" xr:uid="{EE7CC029-DE0B-4FAA-87FA-128C82659ABB}"/>
    <cellStyle name="RISKtrCorner 3 2 6 2" xfId="5787" xr:uid="{613D8C53-27EC-4A76-9E51-F02B5C637455}"/>
    <cellStyle name="RISKtrCorner 3 2 6 3" xfId="8979" xr:uid="{BC456BD3-5FF5-47E6-A6E1-5EFE6F31B523}"/>
    <cellStyle name="RISKtrCorner 3 2 7" xfId="2641" xr:uid="{7EBE3ADB-4201-4F3A-9A02-A95AAD85A200}"/>
    <cellStyle name="RISKtrCorner 3 2 7 2" xfId="6017" xr:uid="{177A9FA1-7AA8-4858-A81D-5350706FCC5F}"/>
    <cellStyle name="RISKtrCorner 3 2 7 3" xfId="9209" xr:uid="{9FA675F1-8A6C-44F5-B88C-59C189EF2090}"/>
    <cellStyle name="RISKtrCorner 3 2 8" xfId="2880" xr:uid="{CDC59B39-9D26-4012-B3DF-739674FCD439}"/>
    <cellStyle name="RISKtrCorner 3 2 8 2" xfId="6250" xr:uid="{9A46AD2D-2AFC-4991-B44F-AABDA9146F97}"/>
    <cellStyle name="RISKtrCorner 3 2 8 3" xfId="9439" xr:uid="{3FB41202-7EE8-4847-9E6A-6FBEBBB84DF6}"/>
    <cellStyle name="RISKtrCorner 3 2 9" xfId="3085" xr:uid="{73F3FEEE-5F67-4271-A74E-7C7F032E59C6}"/>
    <cellStyle name="RISKtrCorner 3 2 9 2" xfId="6483" xr:uid="{C35707D5-FAD6-47C2-9B56-6F9C096C80B1}"/>
    <cellStyle name="RISKtrCorner 3 2 9 3" xfId="9669" xr:uid="{6A739D31-79B0-4FFC-B080-026123D71AD6}"/>
    <cellStyle name="RISKtrCorner 3 20" xfId="11699" xr:uid="{AF0F6BB4-15C9-46D7-AA9C-8CDF5DD68B9B}"/>
    <cellStyle name="RISKtrCorner 3 21" xfId="11993" xr:uid="{7C65C84D-D58F-4067-AD9D-1A4E19264B9F}"/>
    <cellStyle name="RISKtrCorner 3 22" xfId="12245" xr:uid="{BBE7248E-447B-43BC-82EA-F8CDDBC96BC3}"/>
    <cellStyle name="RISKtrCorner 3 23" xfId="12687" xr:uid="{107C7B16-BC1D-48CE-9480-C3BB3A6D5370}"/>
    <cellStyle name="RISKtrCorner 3 24" xfId="12852" xr:uid="{1A4A003C-BB29-4B96-9C8D-4EF4A66119C6}"/>
    <cellStyle name="RISKtrCorner 3 25" xfId="12993" xr:uid="{070BCE00-1D36-4406-A593-92FEFE6D32D3}"/>
    <cellStyle name="RISKtrCorner 3 26" xfId="13355" xr:uid="{110D610C-B2B0-4D8A-9165-91D9B38E2158}"/>
    <cellStyle name="RISKtrCorner 3 27" xfId="13484" xr:uid="{0A726DCB-BC04-4955-AB8E-A856B852193E}"/>
    <cellStyle name="RISKtrCorner 3 3" xfId="1402" xr:uid="{00000000-0005-0000-0000-0000D7070000}"/>
    <cellStyle name="RISKtrCorner 3 3 2" xfId="3513" xr:uid="{37ABE9B0-76A1-44F6-AA13-4248BD58A800}"/>
    <cellStyle name="RISKtrCorner 3 3 3" xfId="4819" xr:uid="{0A1DC067-B6EF-43BD-81AA-A703A6DE967B}"/>
    <cellStyle name="RISKtrCorner 3 3 4" xfId="8029" xr:uid="{F86554B4-AE60-49F0-A68A-36DFBA6C4F8A}"/>
    <cellStyle name="RISKtrCorner 3 4" xfId="1651" xr:uid="{00000000-0005-0000-0000-0000D8070000}"/>
    <cellStyle name="RISKtrCorner 3 4 2" xfId="3752" xr:uid="{49ADAED6-F3EC-436B-83EA-6D0EB9AD108F}"/>
    <cellStyle name="RISKtrCorner 3 4 3" xfId="5060" xr:uid="{CEE37CFF-E0A2-4CB3-9C43-B4C95AD4F274}"/>
    <cellStyle name="RISKtrCorner 3 4 4" xfId="8267" xr:uid="{1FFE41A8-FFE1-4F42-9B7D-6C544988220C}"/>
    <cellStyle name="RISKtrCorner 3 5" xfId="1908" xr:uid="{00000000-0005-0000-0000-0000D9070000}"/>
    <cellStyle name="RISKtrCorner 3 5 2" xfId="4008" xr:uid="{E2C4F6D6-0E7D-4205-99CB-0A585D47ABDB}"/>
    <cellStyle name="RISKtrCorner 3 5 3" xfId="5312" xr:uid="{3939A416-3A57-4601-9F56-483D396AF771}"/>
    <cellStyle name="RISKtrCorner 3 5 4" xfId="8506" xr:uid="{63A640E2-F4DE-45A5-8096-2EEA4A071BDA}"/>
    <cellStyle name="RISKtrCorner 3 6" xfId="2162" xr:uid="{00000000-0005-0000-0000-0000DA070000}"/>
    <cellStyle name="RISKtrCorner 3 6 2" xfId="4252" xr:uid="{B657A36A-90F2-4CF6-9F5F-42253425A09A}"/>
    <cellStyle name="RISKtrCorner 3 6 3" xfId="5550" xr:uid="{0715545B-E24E-4459-AA5B-12D48B1C53DA}"/>
    <cellStyle name="RISKtrCorner 3 6 4" xfId="8742" xr:uid="{70F5839B-999A-4348-8163-39FDDB4FA479}"/>
    <cellStyle name="RISKtrCorner 3 7" xfId="2404" xr:uid="{B7A78C41-EAF6-4D67-8A7C-37E8B8166708}"/>
    <cellStyle name="RISKtrCorner 3 7 2" xfId="5786" xr:uid="{FBCB729C-CACC-4A56-8F4F-5960C0E04837}"/>
    <cellStyle name="RISKtrCorner 3 7 3" xfId="8978" xr:uid="{C322026B-C857-478E-AE98-B5A1D060F82B}"/>
    <cellStyle name="RISKtrCorner 3 8" xfId="2640" xr:uid="{7BA12A7C-EA19-483E-A5B0-0A9BF732CEC0}"/>
    <cellStyle name="RISKtrCorner 3 8 2" xfId="6016" xr:uid="{4151EAE8-34B7-4814-B0D1-3A1BFC26B024}"/>
    <cellStyle name="RISKtrCorner 3 8 3" xfId="9208" xr:uid="{23F60AB6-3DC9-4F6B-9618-1D42DBC7DF26}"/>
    <cellStyle name="RISKtrCorner 3 9" xfId="2879" xr:uid="{4AE477EC-1CCC-4911-BCB0-F498DE4BEF4D}"/>
    <cellStyle name="RISKtrCorner 3 9 2" xfId="6249" xr:uid="{7920F1C6-B25F-4361-AE9D-F9A106B18642}"/>
    <cellStyle name="RISKtrCorner 3 9 3" xfId="9438" xr:uid="{F16AFF92-B774-4D99-A583-46129840B340}"/>
    <cellStyle name="RISKtrCorner 30" xfId="12849" xr:uid="{5FF48BDA-E33C-419E-B509-C43D87B0E5AF}"/>
    <cellStyle name="RISKtrCorner 31" xfId="12990" xr:uid="{2A383273-23A6-4763-9AB3-D2001070820D}"/>
    <cellStyle name="RISKtrCorner 32" xfId="13352" xr:uid="{AA81F2AF-60DD-4C2F-96AF-4DE6743807D2}"/>
    <cellStyle name="RISKtrCorner 33" xfId="13481" xr:uid="{AD6DD828-7657-4869-9E92-4E98D42BE236}"/>
    <cellStyle name="RISKtrCorner 4" xfId="1145" xr:uid="{00000000-0005-0000-0000-0000DB070000}"/>
    <cellStyle name="RISKtrCorner 4 10" xfId="3086" xr:uid="{D62A37B8-2B12-45A9-BAE0-E5297ABB7BCF}"/>
    <cellStyle name="RISKtrCorner 4 10 2" xfId="6484" xr:uid="{E3190087-484D-4E99-8C68-ADE33C27EC5F}"/>
    <cellStyle name="RISKtrCorner 4 10 3" xfId="9670" xr:uid="{0AD9E1E8-B273-419B-A646-EF237EAD5D8A}"/>
    <cellStyle name="RISKtrCorner 4 11" xfId="3328" xr:uid="{76D8C7E7-BDE8-41B3-9548-95F464D4FEA2}"/>
    <cellStyle name="RISKtrCorner 4 11 2" xfId="6747" xr:uid="{D057D53C-DCA3-43F2-849A-95846F3A3ABC}"/>
    <cellStyle name="RISKtrCorner 4 11 3" xfId="9912" xr:uid="{33BCBDF8-07F1-451E-AB81-DE95B54F47C5}"/>
    <cellStyle name="RISKtrCorner 4 12" xfId="7009" xr:uid="{24966D12-4AC4-4589-8AAC-CF66A53F055C}"/>
    <cellStyle name="RISKtrCorner 4 12 2" xfId="10154" xr:uid="{64726D0C-3D1B-4538-BDD5-D47F3A3CF08D}"/>
    <cellStyle name="RISKtrCorner 4 13" xfId="7258" xr:uid="{FDC81864-9147-440B-A8B7-F6D8E76CDAA8}"/>
    <cellStyle name="RISKtrCorner 4 13 2" xfId="10397" xr:uid="{CBD25F07-5816-445F-96C0-EE663F8A692C}"/>
    <cellStyle name="RISKtrCorner 4 14" xfId="7612" xr:uid="{CAEE90E8-FDC9-4C2C-91A0-215A9CE9A1DB}"/>
    <cellStyle name="RISKtrCorner 4 14 2" xfId="10746" xr:uid="{C696DD21-77A1-4610-82C4-EB8BBB03E569}"/>
    <cellStyle name="RISKtrCorner 4 15" xfId="7750" xr:uid="{5B084782-85E5-499A-A2C0-E32779C04A72}"/>
    <cellStyle name="RISKtrCorner 4 15 2" xfId="10883" xr:uid="{4A4ABB2C-BF14-4359-B385-66DC56A7F542}"/>
    <cellStyle name="RISKtrCorner 4 16" xfId="4634" xr:uid="{0BFA016C-98A0-4232-BB84-BFF95E30680F}"/>
    <cellStyle name="RISKtrCorner 4 17" xfId="7854" xr:uid="{7778F5F2-F6DB-4CC3-B9CA-708BABA37DDD}"/>
    <cellStyle name="RISKtrCorner 4 18" xfId="11136" xr:uid="{0765E685-2A96-4166-8F3C-23F9327F7600}"/>
    <cellStyle name="RISKtrCorner 4 19" xfId="11552" xr:uid="{88355319-81EB-45B2-A1BB-2BECC1DEB944}"/>
    <cellStyle name="RISKtrCorner 4 2" xfId="1146" xr:uid="{00000000-0005-0000-0000-0000DC070000}"/>
    <cellStyle name="RISKtrCorner 4 2 10" xfId="3329" xr:uid="{F128EBEF-E9EF-4DB1-B8D5-5FF657309ECA}"/>
    <cellStyle name="RISKtrCorner 4 2 10 2" xfId="6748" xr:uid="{B9F06A58-2A87-4C61-92DF-25720EA2D59C}"/>
    <cellStyle name="RISKtrCorner 4 2 10 3" xfId="9913" xr:uid="{40730955-9C45-4F57-AE71-07D76FCC8594}"/>
    <cellStyle name="RISKtrCorner 4 2 11" xfId="7010" xr:uid="{EBE87EBD-C186-4A16-AAA0-C7FF7F0C83F9}"/>
    <cellStyle name="RISKtrCorner 4 2 11 2" xfId="10155" xr:uid="{0973CD68-9E40-4BE8-9F0D-32F5780B8CAD}"/>
    <cellStyle name="RISKtrCorner 4 2 12" xfId="7259" xr:uid="{17F63071-A4F4-4F4B-ABE3-09BAFC5076C7}"/>
    <cellStyle name="RISKtrCorner 4 2 12 2" xfId="10398" xr:uid="{841AA522-03FA-4017-847D-E9BD4005269C}"/>
    <cellStyle name="RISKtrCorner 4 2 13" xfId="7613" xr:uid="{28D0A706-58AD-4317-887C-F803EBB8472B}"/>
    <cellStyle name="RISKtrCorner 4 2 13 2" xfId="10747" xr:uid="{4FB9C546-40AC-4363-B608-F2D50C2C8373}"/>
    <cellStyle name="RISKtrCorner 4 2 14" xfId="7751" xr:uid="{752ADE12-DDF3-4E0A-BC23-42E6564AA009}"/>
    <cellStyle name="RISKtrCorner 4 2 14 2" xfId="10884" xr:uid="{5948F6B7-CB60-450A-A89B-17AE5435A7C6}"/>
    <cellStyle name="RISKtrCorner 4 2 15" xfId="4635" xr:uid="{567A51F9-632B-4490-A334-60BF4D565625}"/>
    <cellStyle name="RISKtrCorner 4 2 16" xfId="7855" xr:uid="{10352FCD-81C5-4A81-9852-DEBAB27CB850}"/>
    <cellStyle name="RISKtrCorner 4 2 17" xfId="11137" xr:uid="{2F53B393-5F12-4019-9F79-116C9212D84B}"/>
    <cellStyle name="RISKtrCorner 4 2 18" xfId="11553" xr:uid="{B4BA1E10-B1FC-4577-9C36-C1CEA73F2D9B}"/>
    <cellStyle name="RISKtrCorner 4 2 19" xfId="11702" xr:uid="{309AB021-E27A-4526-A443-FED08E6BF389}"/>
    <cellStyle name="RISKtrCorner 4 2 2" xfId="1405" xr:uid="{00000000-0005-0000-0000-0000DD070000}"/>
    <cellStyle name="RISKtrCorner 4 2 2 2" xfId="3516" xr:uid="{614FB9CF-DBFE-415A-B315-51A8981C8D6E}"/>
    <cellStyle name="RISKtrCorner 4 2 2 3" xfId="4822" xr:uid="{BA6FD65A-918E-4B04-A682-29EF41BB4460}"/>
    <cellStyle name="RISKtrCorner 4 2 2 4" xfId="8032" xr:uid="{6B1B5E39-3979-45CA-9383-29DA46C5752B}"/>
    <cellStyle name="RISKtrCorner 4 2 20" xfId="11996" xr:uid="{F1D6F26C-FB66-4AE8-9A20-2A744596E814}"/>
    <cellStyle name="RISKtrCorner 4 2 21" xfId="12248" xr:uid="{8710D7AC-8B22-4533-839B-C72ACCA2D110}"/>
    <cellStyle name="RISKtrCorner 4 2 22" xfId="12690" xr:uid="{2FE3E910-CD2B-412F-83D4-913F7CCB4E64}"/>
    <cellStyle name="RISKtrCorner 4 2 23" xfId="12855" xr:uid="{C19CE88D-2E79-4B4F-B2B2-43557601B2EC}"/>
    <cellStyle name="RISKtrCorner 4 2 24" xfId="12996" xr:uid="{FBF1E812-D940-40FC-85A0-2D5815BF94C9}"/>
    <cellStyle name="RISKtrCorner 4 2 25" xfId="13358" xr:uid="{A3C4EAE0-4500-4955-A6DA-75062F60B2E6}"/>
    <cellStyle name="RISKtrCorner 4 2 26" xfId="13487" xr:uid="{E1727312-D587-4958-9959-7EC9A3A0575D}"/>
    <cellStyle name="RISKtrCorner 4 2 3" xfId="1654" xr:uid="{00000000-0005-0000-0000-0000DE070000}"/>
    <cellStyle name="RISKtrCorner 4 2 3 2" xfId="3755" xr:uid="{5F074847-810E-4097-AA2D-D7AE6651BDD7}"/>
    <cellStyle name="RISKtrCorner 4 2 3 3" xfId="5063" xr:uid="{890680F5-37A7-4F92-961F-1F3C8C3C44FA}"/>
    <cellStyle name="RISKtrCorner 4 2 3 4" xfId="8270" xr:uid="{EF80F3CE-9D0C-4F8D-8EAC-4E608C10C6FE}"/>
    <cellStyle name="RISKtrCorner 4 2 4" xfId="1911" xr:uid="{00000000-0005-0000-0000-0000DF070000}"/>
    <cellStyle name="RISKtrCorner 4 2 4 2" xfId="4011" xr:uid="{8D65EDC9-E193-4E1B-99FD-316E8E15F121}"/>
    <cellStyle name="RISKtrCorner 4 2 4 3" xfId="5315" xr:uid="{2F3301F1-3036-4DF6-872B-AAC14EB604D0}"/>
    <cellStyle name="RISKtrCorner 4 2 4 4" xfId="8509" xr:uid="{F30DBA01-2A90-4599-9EAA-D5BCCCDA59DC}"/>
    <cellStyle name="RISKtrCorner 4 2 5" xfId="2165" xr:uid="{00000000-0005-0000-0000-0000E0070000}"/>
    <cellStyle name="RISKtrCorner 4 2 5 2" xfId="4255" xr:uid="{1331E46F-58C7-48BC-BBBB-7F3C431FAAE1}"/>
    <cellStyle name="RISKtrCorner 4 2 5 3" xfId="5553" xr:uid="{5ECB7725-9370-4CC6-8631-87D0DA6F9C0E}"/>
    <cellStyle name="RISKtrCorner 4 2 5 4" xfId="8745" xr:uid="{8BF4ADBB-6188-4DA4-91C4-923577AD8CFB}"/>
    <cellStyle name="RISKtrCorner 4 2 6" xfId="2407" xr:uid="{D269B3D0-9063-4C4E-BEFA-B54B925F8DD0}"/>
    <cellStyle name="RISKtrCorner 4 2 6 2" xfId="5789" xr:uid="{338318F7-6F7B-47E4-894C-70C7B325990D}"/>
    <cellStyle name="RISKtrCorner 4 2 6 3" xfId="8981" xr:uid="{9BC6F6E9-D012-49B7-A60B-2F88DCA7FA92}"/>
    <cellStyle name="RISKtrCorner 4 2 7" xfId="2643" xr:uid="{BF34C9DA-8FEC-4A58-8B32-9A5DF6A5AE41}"/>
    <cellStyle name="RISKtrCorner 4 2 7 2" xfId="6019" xr:uid="{A8C63564-0A69-42B4-BDE6-9DC47E76A99C}"/>
    <cellStyle name="RISKtrCorner 4 2 7 3" xfId="9211" xr:uid="{A77D0634-FFBD-43AC-AF45-F5FEC2CE32A1}"/>
    <cellStyle name="RISKtrCorner 4 2 8" xfId="2882" xr:uid="{1E114A90-5771-44C9-B2A5-3C7D6ED35249}"/>
    <cellStyle name="RISKtrCorner 4 2 8 2" xfId="6252" xr:uid="{2664F4A5-9BF7-454C-9A32-A6DCDBCDFAA4}"/>
    <cellStyle name="RISKtrCorner 4 2 8 3" xfId="9441" xr:uid="{579D4BE0-755E-4406-A367-A355E7552E30}"/>
    <cellStyle name="RISKtrCorner 4 2 9" xfId="3087" xr:uid="{4FD80F8A-DF68-40ED-A9C7-EB72402348C7}"/>
    <cellStyle name="RISKtrCorner 4 2 9 2" xfId="6485" xr:uid="{0C303E0A-0C7A-4389-9EE3-0137FFEEB79B}"/>
    <cellStyle name="RISKtrCorner 4 2 9 3" xfId="9671" xr:uid="{389E762A-9652-436F-8CC0-7BD85583B4FB}"/>
    <cellStyle name="RISKtrCorner 4 20" xfId="11701" xr:uid="{1DDCF837-2C3D-498F-83AA-C40500C8AAF2}"/>
    <cellStyle name="RISKtrCorner 4 21" xfId="11995" xr:uid="{E18CC73F-90E5-4717-8170-2EF3D6A75DD1}"/>
    <cellStyle name="RISKtrCorner 4 22" xfId="12247" xr:uid="{68BFF936-5584-481F-9A89-CFF2140A72F5}"/>
    <cellStyle name="RISKtrCorner 4 23" xfId="12689" xr:uid="{826D4EAE-155A-4143-9CB0-FB94D77C3FFB}"/>
    <cellStyle name="RISKtrCorner 4 24" xfId="12854" xr:uid="{57F580DB-AED0-4E2C-990E-25030197E924}"/>
    <cellStyle name="RISKtrCorner 4 25" xfId="12995" xr:uid="{844739B1-3B13-4BB5-ACA3-324863BFFC20}"/>
    <cellStyle name="RISKtrCorner 4 26" xfId="13357" xr:uid="{A53E4257-551B-4CF8-AB4C-B806B195EC9B}"/>
    <cellStyle name="RISKtrCorner 4 27" xfId="13486" xr:uid="{CE27C70B-6A6D-4466-9263-E64703FE997D}"/>
    <cellStyle name="RISKtrCorner 4 3" xfId="1404" xr:uid="{00000000-0005-0000-0000-0000E1070000}"/>
    <cellStyle name="RISKtrCorner 4 3 2" xfId="3515" xr:uid="{3D888730-352B-4079-8403-8B5B6DE69331}"/>
    <cellStyle name="RISKtrCorner 4 3 3" xfId="4821" xr:uid="{370C8938-BE04-4463-B20B-FE69A2F90BE5}"/>
    <cellStyle name="RISKtrCorner 4 3 4" xfId="8031" xr:uid="{25F44B21-7B4A-4071-8D19-AEA5BC6D81B5}"/>
    <cellStyle name="RISKtrCorner 4 4" xfId="1653" xr:uid="{00000000-0005-0000-0000-0000E2070000}"/>
    <cellStyle name="RISKtrCorner 4 4 2" xfId="3754" xr:uid="{BED57754-6BEC-4687-8CFC-41B440A4C6EB}"/>
    <cellStyle name="RISKtrCorner 4 4 3" xfId="5062" xr:uid="{4FEDCDAF-2A21-4902-8B5E-6A37BF434823}"/>
    <cellStyle name="RISKtrCorner 4 4 4" xfId="8269" xr:uid="{A86DE857-4215-4541-8F7C-6DDC1B8BE71E}"/>
    <cellStyle name="RISKtrCorner 4 5" xfId="1910" xr:uid="{00000000-0005-0000-0000-0000E3070000}"/>
    <cellStyle name="RISKtrCorner 4 5 2" xfId="4010" xr:uid="{98A4DF74-D044-4375-B47A-9C0637D71E0A}"/>
    <cellStyle name="RISKtrCorner 4 5 3" xfId="5314" xr:uid="{5360B849-AD48-4323-9FAA-F14DB5224B69}"/>
    <cellStyle name="RISKtrCorner 4 5 4" xfId="8508" xr:uid="{105B695B-F272-4C86-95DE-FDC5C16C0F04}"/>
    <cellStyle name="RISKtrCorner 4 6" xfId="2164" xr:uid="{00000000-0005-0000-0000-0000E4070000}"/>
    <cellStyle name="RISKtrCorner 4 6 2" xfId="4254" xr:uid="{4AB64D77-530C-4408-979F-AE30594F0C11}"/>
    <cellStyle name="RISKtrCorner 4 6 3" xfId="5552" xr:uid="{89731552-ED97-4B8F-81D1-3C3815263F4F}"/>
    <cellStyle name="RISKtrCorner 4 6 4" xfId="8744" xr:uid="{11975B0C-BE6E-4DD3-A938-D934FA3D785C}"/>
    <cellStyle name="RISKtrCorner 4 7" xfId="2406" xr:uid="{1F7F408D-4F65-4308-9D13-8479B0EEDCB6}"/>
    <cellStyle name="RISKtrCorner 4 7 2" xfId="5788" xr:uid="{406A6C33-EA84-42B4-82B4-E081B135AD44}"/>
    <cellStyle name="RISKtrCorner 4 7 3" xfId="8980" xr:uid="{F92CE059-CDAE-412A-BBE4-5A6BBE6A322A}"/>
    <cellStyle name="RISKtrCorner 4 8" xfId="2642" xr:uid="{9BC99314-5EB7-4936-9905-F8CF090020C1}"/>
    <cellStyle name="RISKtrCorner 4 8 2" xfId="6018" xr:uid="{3FDFB9AD-94B4-459D-8135-74792CE9BA33}"/>
    <cellStyle name="RISKtrCorner 4 8 3" xfId="9210" xr:uid="{CBEF0FA1-37D2-467B-8500-76B909AC73DB}"/>
    <cellStyle name="RISKtrCorner 4 9" xfId="2881" xr:uid="{05F0D083-AD4F-4479-A2AC-4670F9CE4DC7}"/>
    <cellStyle name="RISKtrCorner 4 9 2" xfId="6251" xr:uid="{DC153C2F-CB2C-4702-AB45-CC2FD3A0B7A7}"/>
    <cellStyle name="RISKtrCorner 4 9 3" xfId="9440" xr:uid="{C99AAFE4-C9F7-4C99-B7B8-62A6EC7797C8}"/>
    <cellStyle name="RISKtrCorner 5" xfId="1147" xr:uid="{00000000-0005-0000-0000-0000E5070000}"/>
    <cellStyle name="RISKtrCorner 5 10" xfId="3088" xr:uid="{E6F17046-CBA8-4CC4-87A7-AD393E3075E7}"/>
    <cellStyle name="RISKtrCorner 5 10 2" xfId="6486" xr:uid="{E8AB283A-D2E0-40B9-BE36-9170E71A1BBF}"/>
    <cellStyle name="RISKtrCorner 5 10 3" xfId="9672" xr:uid="{02A35680-513E-4240-B34D-CC56E6CD044C}"/>
    <cellStyle name="RISKtrCorner 5 11" xfId="3330" xr:uid="{16455441-283E-4B39-BF36-6D0F54A7E173}"/>
    <cellStyle name="RISKtrCorner 5 11 2" xfId="6749" xr:uid="{1FD60131-A5BA-452D-A70E-0BDD6C2DD92D}"/>
    <cellStyle name="RISKtrCorner 5 11 3" xfId="9914" xr:uid="{184FD4D2-0D61-44AF-82AA-2C6127737A16}"/>
    <cellStyle name="RISKtrCorner 5 12" xfId="7011" xr:uid="{9475905F-6B15-491E-BFDA-169D8A1003CA}"/>
    <cellStyle name="RISKtrCorner 5 12 2" xfId="10156" xr:uid="{23BBF927-3EA0-4E2C-A7EB-2F2AF45E8329}"/>
    <cellStyle name="RISKtrCorner 5 13" xfId="7260" xr:uid="{A914DB88-62F0-49C2-8518-5A0053B5E953}"/>
    <cellStyle name="RISKtrCorner 5 13 2" xfId="10399" xr:uid="{5B400D91-9E90-44AC-9B1D-F46C043AEE86}"/>
    <cellStyle name="RISKtrCorner 5 14" xfId="7614" xr:uid="{BF69CF81-D2B2-41A9-8B6A-81689D16729F}"/>
    <cellStyle name="RISKtrCorner 5 14 2" xfId="10748" xr:uid="{34F32AE2-E99C-4E8D-8AF6-D21936E6A3B1}"/>
    <cellStyle name="RISKtrCorner 5 15" xfId="7752" xr:uid="{1B434551-0BA3-4DCC-89F1-AE9BF97AA841}"/>
    <cellStyle name="RISKtrCorner 5 15 2" xfId="10885" xr:uid="{1A72BC69-24CD-4653-AF71-A5356D0FA432}"/>
    <cellStyle name="RISKtrCorner 5 16" xfId="4636" xr:uid="{4859F0C4-318E-4614-9242-F07E58F6044F}"/>
    <cellStyle name="RISKtrCorner 5 17" xfId="7856" xr:uid="{BB690B33-EC27-4ADC-AC70-6440382D4E06}"/>
    <cellStyle name="RISKtrCorner 5 18" xfId="11138" xr:uid="{69DED152-FF25-4352-8E0E-8BA84DACBF45}"/>
    <cellStyle name="RISKtrCorner 5 19" xfId="11554" xr:uid="{5AEA4C36-DFEA-4958-A3A2-52353361BC3C}"/>
    <cellStyle name="RISKtrCorner 5 2" xfId="1148" xr:uid="{00000000-0005-0000-0000-0000E6070000}"/>
    <cellStyle name="RISKtrCorner 5 2 10" xfId="3331" xr:uid="{239C37BC-AD89-42E9-A3A8-2B6CE998EF9C}"/>
    <cellStyle name="RISKtrCorner 5 2 10 2" xfId="6750" xr:uid="{055A5276-576B-452B-9161-DB7F83297DB5}"/>
    <cellStyle name="RISKtrCorner 5 2 10 3" xfId="9915" xr:uid="{F4E152DB-5F73-48D7-9FE5-7431292E9216}"/>
    <cellStyle name="RISKtrCorner 5 2 11" xfId="7012" xr:uid="{241C7CD8-04DB-4AAC-A163-E67496A5F0CB}"/>
    <cellStyle name="RISKtrCorner 5 2 11 2" xfId="10157" xr:uid="{B894D52B-03D7-4398-90D6-896F54549E4A}"/>
    <cellStyle name="RISKtrCorner 5 2 12" xfId="7261" xr:uid="{EAB3D244-AC4D-40BB-AAB3-13AA4376F9C0}"/>
    <cellStyle name="RISKtrCorner 5 2 12 2" xfId="10400" xr:uid="{A8751E1B-5554-4E20-8963-CCC134AF0EA7}"/>
    <cellStyle name="RISKtrCorner 5 2 13" xfId="7615" xr:uid="{3334CFEC-EDA8-498B-9D2B-3FBDF37D0F48}"/>
    <cellStyle name="RISKtrCorner 5 2 13 2" xfId="10749" xr:uid="{33F9CB3B-1EC4-4821-BE01-CA1969737CA9}"/>
    <cellStyle name="RISKtrCorner 5 2 14" xfId="7753" xr:uid="{4E81CE1D-63FA-4867-95F3-D4A14F7F0895}"/>
    <cellStyle name="RISKtrCorner 5 2 14 2" xfId="10886" xr:uid="{CF6D732E-E649-4211-8CB7-C39C1C9474EC}"/>
    <cellStyle name="RISKtrCorner 5 2 15" xfId="4637" xr:uid="{5634FC34-38E7-4D10-BE88-9D50687E63AD}"/>
    <cellStyle name="RISKtrCorner 5 2 16" xfId="7857" xr:uid="{D4BB1794-40C0-4A6C-B16C-A71439558D3A}"/>
    <cellStyle name="RISKtrCorner 5 2 17" xfId="11139" xr:uid="{73418D43-05B8-44B5-A213-36200F203BD2}"/>
    <cellStyle name="RISKtrCorner 5 2 18" xfId="11555" xr:uid="{ABC1E0C5-7FEF-4776-AEBC-D3FB37ECD0B4}"/>
    <cellStyle name="RISKtrCorner 5 2 19" xfId="11704" xr:uid="{A0E77F8B-7D51-4D11-99DB-5D27C6DD685F}"/>
    <cellStyle name="RISKtrCorner 5 2 2" xfId="1407" xr:uid="{00000000-0005-0000-0000-0000E7070000}"/>
    <cellStyle name="RISKtrCorner 5 2 2 2" xfId="3518" xr:uid="{81360D70-C5D2-4747-8D70-3C19A7ABBE19}"/>
    <cellStyle name="RISKtrCorner 5 2 2 3" xfId="4824" xr:uid="{A9E49FBA-7E4B-4331-92B8-B41B7934F9B1}"/>
    <cellStyle name="RISKtrCorner 5 2 2 4" xfId="8034" xr:uid="{1EF8AFFC-2541-47E9-95C4-6609BFEFC167}"/>
    <cellStyle name="RISKtrCorner 5 2 20" xfId="11998" xr:uid="{62F1C5FD-B6A3-4EE1-A783-3A490B270BD8}"/>
    <cellStyle name="RISKtrCorner 5 2 21" xfId="12250" xr:uid="{11C6A980-3681-47B1-A93D-9C6D0FFA836C}"/>
    <cellStyle name="RISKtrCorner 5 2 22" xfId="12692" xr:uid="{A7984DDB-E080-4E91-9D50-40DD71C2BB44}"/>
    <cellStyle name="RISKtrCorner 5 2 23" xfId="12857" xr:uid="{70F44C48-75D2-4317-ADB2-623083C81933}"/>
    <cellStyle name="RISKtrCorner 5 2 24" xfId="12998" xr:uid="{4A7AEE40-1711-481B-A5AA-1DCA6BADC279}"/>
    <cellStyle name="RISKtrCorner 5 2 25" xfId="13360" xr:uid="{50D7A283-F537-4AA0-BBA4-43E19614314F}"/>
    <cellStyle name="RISKtrCorner 5 2 26" xfId="13489" xr:uid="{19E28BE7-7471-45DA-AFCE-A9FDCA545C31}"/>
    <cellStyle name="RISKtrCorner 5 2 3" xfId="1656" xr:uid="{00000000-0005-0000-0000-0000E8070000}"/>
    <cellStyle name="RISKtrCorner 5 2 3 2" xfId="3757" xr:uid="{8AC7895F-7665-46AF-9F0F-4D14C59350DD}"/>
    <cellStyle name="RISKtrCorner 5 2 3 3" xfId="5065" xr:uid="{D5D6DD24-7DA5-4E87-9B29-2DAC2C4474CF}"/>
    <cellStyle name="RISKtrCorner 5 2 3 4" xfId="8272" xr:uid="{43E0C548-57B7-420F-8054-F5B0B12614C8}"/>
    <cellStyle name="RISKtrCorner 5 2 4" xfId="1913" xr:uid="{00000000-0005-0000-0000-0000E9070000}"/>
    <cellStyle name="RISKtrCorner 5 2 4 2" xfId="4013" xr:uid="{9DB8FE3D-432B-44F9-ABA7-D33133B1F8F8}"/>
    <cellStyle name="RISKtrCorner 5 2 4 3" xfId="5317" xr:uid="{C35A39DA-865A-4685-B0BB-F8111A5B36E7}"/>
    <cellStyle name="RISKtrCorner 5 2 4 4" xfId="8511" xr:uid="{26D22157-BE4D-41C2-96B9-DC22DB3F9618}"/>
    <cellStyle name="RISKtrCorner 5 2 5" xfId="2167" xr:uid="{00000000-0005-0000-0000-0000EA070000}"/>
    <cellStyle name="RISKtrCorner 5 2 5 2" xfId="4257" xr:uid="{691B8BE9-AB73-4A94-BFD3-1E0B3BA6F719}"/>
    <cellStyle name="RISKtrCorner 5 2 5 3" xfId="5555" xr:uid="{637696C2-C22E-4990-9B25-46198109A551}"/>
    <cellStyle name="RISKtrCorner 5 2 5 4" xfId="8747" xr:uid="{5017D726-109F-42BE-8C3B-B4258D2407C5}"/>
    <cellStyle name="RISKtrCorner 5 2 6" xfId="2409" xr:uid="{4D808B64-B0C5-4B0E-B3BA-D194D334EEEF}"/>
    <cellStyle name="RISKtrCorner 5 2 6 2" xfId="5791" xr:uid="{44803CB1-4A6D-4962-813E-2A7AE342D3F8}"/>
    <cellStyle name="RISKtrCorner 5 2 6 3" xfId="8983" xr:uid="{E0871BC5-E0DD-49CA-98FD-FFFA9B3939D9}"/>
    <cellStyle name="RISKtrCorner 5 2 7" xfId="2645" xr:uid="{329F2597-E30B-4B37-B7CE-9140AFF59EE8}"/>
    <cellStyle name="RISKtrCorner 5 2 7 2" xfId="6021" xr:uid="{91D09723-2AE7-4484-BBED-3DA30C643613}"/>
    <cellStyle name="RISKtrCorner 5 2 7 3" xfId="9213" xr:uid="{69AD4BCF-BC69-44AE-8656-DBEEFF398063}"/>
    <cellStyle name="RISKtrCorner 5 2 8" xfId="2884" xr:uid="{08D9ABAC-E2CF-416F-87FB-E86AA3012DB4}"/>
    <cellStyle name="RISKtrCorner 5 2 8 2" xfId="6254" xr:uid="{BC3D2FE4-85D1-4C5B-81AC-62393E1BA65F}"/>
    <cellStyle name="RISKtrCorner 5 2 8 3" xfId="9443" xr:uid="{09F6BF97-508F-4D85-A183-112C1AF8C695}"/>
    <cellStyle name="RISKtrCorner 5 2 9" xfId="3089" xr:uid="{E1D56BF4-CD45-4857-9D79-233F0FC6260B}"/>
    <cellStyle name="RISKtrCorner 5 2 9 2" xfId="6487" xr:uid="{19734DE2-6AC1-4A4D-9853-D7D9204397EF}"/>
    <cellStyle name="RISKtrCorner 5 2 9 3" xfId="9673" xr:uid="{0F8A6829-5F37-41E6-9DFC-D26FD1077A5F}"/>
    <cellStyle name="RISKtrCorner 5 20" xfId="11703" xr:uid="{70766625-FABA-4743-BAF8-A7B8935F86F7}"/>
    <cellStyle name="RISKtrCorner 5 21" xfId="11997" xr:uid="{CF1FAAE0-5D3A-446A-969B-AA930BCD96E1}"/>
    <cellStyle name="RISKtrCorner 5 22" xfId="12249" xr:uid="{2AAF9243-2A8C-4A36-9001-95D6A605903F}"/>
    <cellStyle name="RISKtrCorner 5 23" xfId="12691" xr:uid="{D5A9E0FC-C96B-4471-88B6-06ED4595D76C}"/>
    <cellStyle name="RISKtrCorner 5 24" xfId="12856" xr:uid="{7A1293BB-9995-4E75-B83F-B3B541A91AD9}"/>
    <cellStyle name="RISKtrCorner 5 25" xfId="12997" xr:uid="{9757BADB-A5F5-420F-B30E-AE3CCD7F980E}"/>
    <cellStyle name="RISKtrCorner 5 26" xfId="13359" xr:uid="{4ED5726B-90E3-4217-B520-F7A659129AD3}"/>
    <cellStyle name="RISKtrCorner 5 27" xfId="13488" xr:uid="{78DDB9AC-ED83-4B0B-908A-8BC5019500A7}"/>
    <cellStyle name="RISKtrCorner 5 3" xfId="1406" xr:uid="{00000000-0005-0000-0000-0000EB070000}"/>
    <cellStyle name="RISKtrCorner 5 3 2" xfId="3517" xr:uid="{8B63DCFB-99DA-4416-8807-558FA9D94953}"/>
    <cellStyle name="RISKtrCorner 5 3 3" xfId="4823" xr:uid="{9BB47947-AF20-4D1C-8810-80CFFB1CDF1C}"/>
    <cellStyle name="RISKtrCorner 5 3 4" xfId="8033" xr:uid="{057A72E4-54B4-4DF2-9800-8E0A0727A87C}"/>
    <cellStyle name="RISKtrCorner 5 4" xfId="1655" xr:uid="{00000000-0005-0000-0000-0000EC070000}"/>
    <cellStyle name="RISKtrCorner 5 4 2" xfId="3756" xr:uid="{F4CB627D-3B55-440D-869F-98285871AF20}"/>
    <cellStyle name="RISKtrCorner 5 4 3" xfId="5064" xr:uid="{FBBAE931-540F-41EE-A2D5-CFC7327AF9B9}"/>
    <cellStyle name="RISKtrCorner 5 4 4" xfId="8271" xr:uid="{39C3F952-75FE-4988-BB7F-BAA8181A3CDA}"/>
    <cellStyle name="RISKtrCorner 5 5" xfId="1912" xr:uid="{00000000-0005-0000-0000-0000ED070000}"/>
    <cellStyle name="RISKtrCorner 5 5 2" xfId="4012" xr:uid="{8C32D63F-7183-41A8-8259-4940E2A78CE4}"/>
    <cellStyle name="RISKtrCorner 5 5 3" xfId="5316" xr:uid="{97AA16CB-603E-4FF5-B0BE-EDFFCBDC5D07}"/>
    <cellStyle name="RISKtrCorner 5 5 4" xfId="8510" xr:uid="{BA1D51BA-8112-4A38-9836-B4CD32D399FD}"/>
    <cellStyle name="RISKtrCorner 5 6" xfId="2166" xr:uid="{00000000-0005-0000-0000-0000EE070000}"/>
    <cellStyle name="RISKtrCorner 5 6 2" xfId="4256" xr:uid="{33EFD28C-0410-4EDA-9CC5-0C1CFB8A6DEA}"/>
    <cellStyle name="RISKtrCorner 5 6 3" xfId="5554" xr:uid="{8721910C-4668-4C79-9EDA-298E7759F952}"/>
    <cellStyle name="RISKtrCorner 5 6 4" xfId="8746" xr:uid="{9A6E9075-D809-4F89-A61E-A691C09F7650}"/>
    <cellStyle name="RISKtrCorner 5 7" xfId="2408" xr:uid="{0A412E09-7D4A-46BC-B528-724E1A522D91}"/>
    <cellStyle name="RISKtrCorner 5 7 2" xfId="5790" xr:uid="{005481BE-1F82-41FE-95CD-68488778CA9C}"/>
    <cellStyle name="RISKtrCorner 5 7 3" xfId="8982" xr:uid="{B5F8008C-64B8-4654-9D39-59EA91308910}"/>
    <cellStyle name="RISKtrCorner 5 8" xfId="2644" xr:uid="{FB168BBB-A5E5-4D13-84C8-D21D50C6A62C}"/>
    <cellStyle name="RISKtrCorner 5 8 2" xfId="6020" xr:uid="{98130D64-B99E-4D92-B5FC-38BD95D7460B}"/>
    <cellStyle name="RISKtrCorner 5 8 3" xfId="9212" xr:uid="{24FCCB40-32B5-46E7-97F2-E51A285AD6DA}"/>
    <cellStyle name="RISKtrCorner 5 9" xfId="2883" xr:uid="{69A3C6CC-1A91-41C8-942A-085A8DDB0251}"/>
    <cellStyle name="RISKtrCorner 5 9 2" xfId="6253" xr:uid="{41EDC03D-3160-4222-9635-56BBE2223CC4}"/>
    <cellStyle name="RISKtrCorner 5 9 3" xfId="9442" xr:uid="{ED3B852F-E2F4-4C20-9FAB-BDE7A3BCA63D}"/>
    <cellStyle name="RISKtrCorner 6" xfId="1149" xr:uid="{00000000-0005-0000-0000-0000EF070000}"/>
    <cellStyle name="RISKtrCorner 6 10" xfId="3090" xr:uid="{1AE00E84-CF85-44F4-8B2F-CD70BE2D4267}"/>
    <cellStyle name="RISKtrCorner 6 10 2" xfId="6488" xr:uid="{7F6E4B0A-18DF-47C2-9183-A18590BF8783}"/>
    <cellStyle name="RISKtrCorner 6 10 3" xfId="9674" xr:uid="{B12B22CB-36DE-4254-8DDF-1856D58FADAE}"/>
    <cellStyle name="RISKtrCorner 6 11" xfId="3332" xr:uid="{2AFA81C2-2951-439F-BCF1-724AED7E765C}"/>
    <cellStyle name="RISKtrCorner 6 11 2" xfId="6751" xr:uid="{44A974E3-9B9A-4A93-8E4A-15AC3A86AE07}"/>
    <cellStyle name="RISKtrCorner 6 11 3" xfId="9916" xr:uid="{217F074B-2710-427D-9467-B64DFE4E2DBB}"/>
    <cellStyle name="RISKtrCorner 6 12" xfId="7013" xr:uid="{85589FFE-0F90-4868-AEA9-73A613E4AF31}"/>
    <cellStyle name="RISKtrCorner 6 12 2" xfId="10158" xr:uid="{8DF7E111-52DD-4A7E-9CBF-61C2450FC9C0}"/>
    <cellStyle name="RISKtrCorner 6 13" xfId="7262" xr:uid="{FF65EF60-C4A2-4C6C-815D-4509B24E694C}"/>
    <cellStyle name="RISKtrCorner 6 13 2" xfId="10401" xr:uid="{2CA41F73-FFED-4446-B5B3-9BB6F8C072F2}"/>
    <cellStyle name="RISKtrCorner 6 14" xfId="7616" xr:uid="{4C122A64-F74E-417F-A513-981CD3016CA7}"/>
    <cellStyle name="RISKtrCorner 6 14 2" xfId="10750" xr:uid="{2145C7BE-01B4-446D-B60B-646D50A48FC4}"/>
    <cellStyle name="RISKtrCorner 6 15" xfId="7754" xr:uid="{3B142957-CE79-4B4C-8330-9C38B2F9FA13}"/>
    <cellStyle name="RISKtrCorner 6 15 2" xfId="10887" xr:uid="{7EC0F2DD-6AA6-451B-9D77-9BFED30FF79A}"/>
    <cellStyle name="RISKtrCorner 6 16" xfId="4638" xr:uid="{C036BB15-C033-4E02-9697-69B5B3CACFC8}"/>
    <cellStyle name="RISKtrCorner 6 17" xfId="7858" xr:uid="{2010D516-173B-4D44-B67D-7F0627F39C62}"/>
    <cellStyle name="RISKtrCorner 6 18" xfId="11140" xr:uid="{4F7ABE9E-4DA4-488B-8F40-920D547F9AF6}"/>
    <cellStyle name="RISKtrCorner 6 19" xfId="11556" xr:uid="{23ED25EE-77F5-4BD9-ACD1-7EF0CC24692B}"/>
    <cellStyle name="RISKtrCorner 6 2" xfId="1150" xr:uid="{00000000-0005-0000-0000-0000F0070000}"/>
    <cellStyle name="RISKtrCorner 6 2 10" xfId="3333" xr:uid="{FF8B93EF-4E17-4644-8487-9625E676A72A}"/>
    <cellStyle name="RISKtrCorner 6 2 10 2" xfId="6752" xr:uid="{6C60CEDA-BD01-42A6-997C-310DAC9890DA}"/>
    <cellStyle name="RISKtrCorner 6 2 10 3" xfId="9917" xr:uid="{966C9B61-1FA6-4552-A36D-1125E8B17590}"/>
    <cellStyle name="RISKtrCorner 6 2 11" xfId="7014" xr:uid="{CF5B1772-E21A-47B0-ACE7-77D7FAF328C8}"/>
    <cellStyle name="RISKtrCorner 6 2 11 2" xfId="10159" xr:uid="{93F12AFC-1C96-4F0C-822C-3A0FEA6A1028}"/>
    <cellStyle name="RISKtrCorner 6 2 12" xfId="7263" xr:uid="{8EC4C513-BCF3-4854-A577-88419E000567}"/>
    <cellStyle name="RISKtrCorner 6 2 12 2" xfId="10402" xr:uid="{C25A2841-892C-4FA6-AEF7-68E1ABF6F577}"/>
    <cellStyle name="RISKtrCorner 6 2 13" xfId="7617" xr:uid="{1DB7F1B3-EF18-4AC7-B277-C634E428225A}"/>
    <cellStyle name="RISKtrCorner 6 2 13 2" xfId="10751" xr:uid="{3175E263-496E-4B3E-8222-962FCF5947F2}"/>
    <cellStyle name="RISKtrCorner 6 2 14" xfId="7755" xr:uid="{88378F85-A8F3-4CAE-ADD4-22619FEA2E61}"/>
    <cellStyle name="RISKtrCorner 6 2 14 2" xfId="10888" xr:uid="{B3E1FB3E-304C-449E-AC4C-8EC4EDC0BE79}"/>
    <cellStyle name="RISKtrCorner 6 2 15" xfId="4639" xr:uid="{310771DF-6A59-45D1-B61E-0821492FC027}"/>
    <cellStyle name="RISKtrCorner 6 2 16" xfId="7859" xr:uid="{B1DB0D85-554B-49DB-9C6D-0A212481E09C}"/>
    <cellStyle name="RISKtrCorner 6 2 17" xfId="11141" xr:uid="{0E6D66A2-0FF9-4346-A653-AC170D2D8C11}"/>
    <cellStyle name="RISKtrCorner 6 2 18" xfId="11557" xr:uid="{FBF335A1-434B-4B77-A2C6-3D05CF1DD75E}"/>
    <cellStyle name="RISKtrCorner 6 2 19" xfId="11706" xr:uid="{DC049382-5A52-4F0D-B23C-E56B12724B86}"/>
    <cellStyle name="RISKtrCorner 6 2 2" xfId="1409" xr:uid="{00000000-0005-0000-0000-0000F1070000}"/>
    <cellStyle name="RISKtrCorner 6 2 2 2" xfId="3520" xr:uid="{C1500180-40F6-485C-9B4F-CF301A37D916}"/>
    <cellStyle name="RISKtrCorner 6 2 2 3" xfId="4826" xr:uid="{CBF818FF-C3DE-434C-9DB4-E857726EF229}"/>
    <cellStyle name="RISKtrCorner 6 2 2 4" xfId="8036" xr:uid="{63A58213-FF5E-4864-A326-0036DF33DCF8}"/>
    <cellStyle name="RISKtrCorner 6 2 20" xfId="12000" xr:uid="{47C87B20-95C6-46EA-8D24-C481F12F0288}"/>
    <cellStyle name="RISKtrCorner 6 2 21" xfId="12252" xr:uid="{A09C3F77-0360-4F32-97AC-355296603F80}"/>
    <cellStyle name="RISKtrCorner 6 2 22" xfId="12694" xr:uid="{264FC268-B456-49B3-8B10-828BBB00EF09}"/>
    <cellStyle name="RISKtrCorner 6 2 23" xfId="12859" xr:uid="{AB72861C-FDD5-4F29-A294-884FB6233843}"/>
    <cellStyle name="RISKtrCorner 6 2 24" xfId="13000" xr:uid="{2313DE27-57B7-4838-8BA7-2E2D79AA0D16}"/>
    <cellStyle name="RISKtrCorner 6 2 25" xfId="13362" xr:uid="{8E9DDC01-6DD4-4048-9531-47D62E164848}"/>
    <cellStyle name="RISKtrCorner 6 2 26" xfId="13491" xr:uid="{A6394B12-666C-4C36-8C75-104281FD4167}"/>
    <cellStyle name="RISKtrCorner 6 2 3" xfId="1658" xr:uid="{00000000-0005-0000-0000-0000F2070000}"/>
    <cellStyle name="RISKtrCorner 6 2 3 2" xfId="3759" xr:uid="{632DF8E9-A358-415E-B44A-2EC51D031B6E}"/>
    <cellStyle name="RISKtrCorner 6 2 3 3" xfId="5067" xr:uid="{D14677B2-661B-4047-ABA6-F39FC20B5F82}"/>
    <cellStyle name="RISKtrCorner 6 2 3 4" xfId="8274" xr:uid="{0A4DA8D2-21B6-4BE1-8936-69BA96700858}"/>
    <cellStyle name="RISKtrCorner 6 2 4" xfId="1915" xr:uid="{00000000-0005-0000-0000-0000F3070000}"/>
    <cellStyle name="RISKtrCorner 6 2 4 2" xfId="4015" xr:uid="{FD0E65F7-7173-4C85-8F49-41494864B3A3}"/>
    <cellStyle name="RISKtrCorner 6 2 4 3" xfId="5319" xr:uid="{1EBB85E6-8D56-4A7C-A8BE-9D7F12D3BD06}"/>
    <cellStyle name="RISKtrCorner 6 2 4 4" xfId="8513" xr:uid="{E124F46F-3F7B-474C-851A-132F86FE90A6}"/>
    <cellStyle name="RISKtrCorner 6 2 5" xfId="2169" xr:uid="{00000000-0005-0000-0000-0000F4070000}"/>
    <cellStyle name="RISKtrCorner 6 2 5 2" xfId="4259" xr:uid="{81FAB7B0-14DF-49A4-A2EA-F2163A2DA2AC}"/>
    <cellStyle name="RISKtrCorner 6 2 5 3" xfId="5557" xr:uid="{C9B22D0D-C040-4572-B02C-B44106040051}"/>
    <cellStyle name="RISKtrCorner 6 2 5 4" xfId="8749" xr:uid="{2729E38E-5106-4802-BDCB-AC1D447278EC}"/>
    <cellStyle name="RISKtrCorner 6 2 6" xfId="2411" xr:uid="{801E2C8A-541C-43FD-8961-2FFA2C73C858}"/>
    <cellStyle name="RISKtrCorner 6 2 6 2" xfId="5793" xr:uid="{654F9699-4B08-4AE2-B949-0DBF682E9F47}"/>
    <cellStyle name="RISKtrCorner 6 2 6 3" xfId="8985" xr:uid="{03213693-89AC-44C1-8E39-95E4A0A8217C}"/>
    <cellStyle name="RISKtrCorner 6 2 7" xfId="2647" xr:uid="{11670375-1485-4F4D-97F7-45A0F12F5F3A}"/>
    <cellStyle name="RISKtrCorner 6 2 7 2" xfId="6023" xr:uid="{E688A9D9-E124-48FF-9528-7DF5B6DAE19D}"/>
    <cellStyle name="RISKtrCorner 6 2 7 3" xfId="9215" xr:uid="{85C65757-9F0D-4034-BA85-C02895ED8151}"/>
    <cellStyle name="RISKtrCorner 6 2 8" xfId="2886" xr:uid="{4A1EFF9D-2746-42D0-A6E1-EA8EB907A70A}"/>
    <cellStyle name="RISKtrCorner 6 2 8 2" xfId="6256" xr:uid="{B065891F-9461-4FED-BDB4-FBD71A9FF7A5}"/>
    <cellStyle name="RISKtrCorner 6 2 8 3" xfId="9445" xr:uid="{BC3E1200-384C-4C07-AC32-9468F46CB224}"/>
    <cellStyle name="RISKtrCorner 6 2 9" xfId="3091" xr:uid="{3DB19393-022A-4351-BBEB-3E523E65F2AE}"/>
    <cellStyle name="RISKtrCorner 6 2 9 2" xfId="6489" xr:uid="{A7C074DC-EBE1-45B0-B353-4D3C23396EEB}"/>
    <cellStyle name="RISKtrCorner 6 2 9 3" xfId="9675" xr:uid="{6F09EF43-F32B-4D85-8E8C-53300B045C02}"/>
    <cellStyle name="RISKtrCorner 6 20" xfId="11705" xr:uid="{D4B5DB60-4874-4E3F-BFE0-E3F1586B0FC7}"/>
    <cellStyle name="RISKtrCorner 6 21" xfId="11999" xr:uid="{F7F33503-AB16-4F1C-B99E-9B1635BBBF6F}"/>
    <cellStyle name="RISKtrCorner 6 22" xfId="12251" xr:uid="{2BA2ADE1-E47F-4B38-AFD2-A358B25C7EE4}"/>
    <cellStyle name="RISKtrCorner 6 23" xfId="12693" xr:uid="{461CE40E-D01F-47F7-9420-892930F22ECA}"/>
    <cellStyle name="RISKtrCorner 6 24" xfId="12858" xr:uid="{4FDC40A4-8F97-466D-B52A-CC048FB58A60}"/>
    <cellStyle name="RISKtrCorner 6 25" xfId="12999" xr:uid="{DB8678CC-62D1-4E76-BA1A-8B494170EE6B}"/>
    <cellStyle name="RISKtrCorner 6 26" xfId="13361" xr:uid="{A837002A-DC12-4FA0-8056-58985BCC41C8}"/>
    <cellStyle name="RISKtrCorner 6 27" xfId="13490" xr:uid="{2F63D15C-5662-4786-A88B-18C44C996C48}"/>
    <cellStyle name="RISKtrCorner 6 3" xfId="1408" xr:uid="{00000000-0005-0000-0000-0000F5070000}"/>
    <cellStyle name="RISKtrCorner 6 3 2" xfId="3519" xr:uid="{E0D0CFF6-B621-4D4D-ADC1-5BC5B7E7154D}"/>
    <cellStyle name="RISKtrCorner 6 3 3" xfId="4825" xr:uid="{9C98CE07-9C44-46C0-A9EB-73175C7D285B}"/>
    <cellStyle name="RISKtrCorner 6 3 4" xfId="8035" xr:uid="{2F2934A5-1C61-4B13-AAF4-3F26F3B1D0D5}"/>
    <cellStyle name="RISKtrCorner 6 4" xfId="1657" xr:uid="{00000000-0005-0000-0000-0000F6070000}"/>
    <cellStyle name="RISKtrCorner 6 4 2" xfId="3758" xr:uid="{E731D20F-E4E1-4FD1-B976-674D4573D6C0}"/>
    <cellStyle name="RISKtrCorner 6 4 3" xfId="5066" xr:uid="{4181F499-A28B-41A7-B9C9-FCC27D6E32AA}"/>
    <cellStyle name="RISKtrCorner 6 4 4" xfId="8273" xr:uid="{DD8EA8D6-FA16-4A14-BCB2-CCB0137E063D}"/>
    <cellStyle name="RISKtrCorner 6 5" xfId="1914" xr:uid="{00000000-0005-0000-0000-0000F7070000}"/>
    <cellStyle name="RISKtrCorner 6 5 2" xfId="4014" xr:uid="{2DDDF033-11EB-42CC-AB81-EE8EADF79872}"/>
    <cellStyle name="RISKtrCorner 6 5 3" xfId="5318" xr:uid="{D89A43F9-9670-4FF6-9145-296C270232C9}"/>
    <cellStyle name="RISKtrCorner 6 5 4" xfId="8512" xr:uid="{1A144CEA-B82E-498E-B939-8C12BD52466A}"/>
    <cellStyle name="RISKtrCorner 6 6" xfId="2168" xr:uid="{00000000-0005-0000-0000-0000F8070000}"/>
    <cellStyle name="RISKtrCorner 6 6 2" xfId="4258" xr:uid="{8200DD78-BD0E-436B-9B72-182C86B0942C}"/>
    <cellStyle name="RISKtrCorner 6 6 3" xfId="5556" xr:uid="{6417074F-6311-4C1D-A5B4-AEA0C1EFDC11}"/>
    <cellStyle name="RISKtrCorner 6 6 4" xfId="8748" xr:uid="{A983BFD1-3398-4645-A948-483B82E71407}"/>
    <cellStyle name="RISKtrCorner 6 7" xfId="2410" xr:uid="{22B7860C-734C-436E-B858-EEA2CCA0CB61}"/>
    <cellStyle name="RISKtrCorner 6 7 2" xfId="5792" xr:uid="{FA11B109-FB2E-4E68-ADBB-A44F21FAB706}"/>
    <cellStyle name="RISKtrCorner 6 7 3" xfId="8984" xr:uid="{0165D9BD-9C22-489D-A5D9-3ADC8F6A9EFB}"/>
    <cellStyle name="RISKtrCorner 6 8" xfId="2646" xr:uid="{7092459F-A5D3-425F-AA05-D7DD2F169D07}"/>
    <cellStyle name="RISKtrCorner 6 8 2" xfId="6022" xr:uid="{3612F5B4-741C-4335-B5BF-CF529C4A3C86}"/>
    <cellStyle name="RISKtrCorner 6 8 3" xfId="9214" xr:uid="{58B42671-E826-454C-8FCF-C17FFB082D3A}"/>
    <cellStyle name="RISKtrCorner 6 9" xfId="2885" xr:uid="{5CBF53C0-5842-4243-A782-9D214161214B}"/>
    <cellStyle name="RISKtrCorner 6 9 2" xfId="6255" xr:uid="{7D03B4A7-2297-4B92-951E-5D672EF33C37}"/>
    <cellStyle name="RISKtrCorner 6 9 3" xfId="9444" xr:uid="{127269CE-5402-4B97-AEF3-24ADC8459232}"/>
    <cellStyle name="RISKtrCorner 7" xfId="1151" xr:uid="{00000000-0005-0000-0000-0000F9070000}"/>
    <cellStyle name="RISKtrCorner 7 10" xfId="2887" xr:uid="{20BCB3E4-F7A7-4A4C-B4E4-1EB74D265A83}"/>
    <cellStyle name="RISKtrCorner 7 10 2" xfId="6257" xr:uid="{99858221-D375-4E12-85CA-D2EB8B97364E}"/>
    <cellStyle name="RISKtrCorner 7 10 3" xfId="9446" xr:uid="{5D679871-02E0-4621-80F1-086909AEBDAD}"/>
    <cellStyle name="RISKtrCorner 7 11" xfId="3092" xr:uid="{E623BE73-7899-4563-A1DA-7FE516409BFD}"/>
    <cellStyle name="RISKtrCorner 7 11 2" xfId="6490" xr:uid="{205310DA-FB6E-4374-A35F-BC6E1C0A2812}"/>
    <cellStyle name="RISKtrCorner 7 11 3" xfId="9676" xr:uid="{AE5F0943-87A8-4336-936C-2198F0D0DB8F}"/>
    <cellStyle name="RISKtrCorner 7 12" xfId="3334" xr:uid="{872F6EC7-9FDF-4698-8DD1-4A72A8B234DA}"/>
    <cellStyle name="RISKtrCorner 7 12 2" xfId="6753" xr:uid="{5C7B7193-11C7-4FEC-A0BF-9FD985B99E36}"/>
    <cellStyle name="RISKtrCorner 7 12 3" xfId="9918" xr:uid="{195CF89C-C844-43C5-B274-C17141C41C78}"/>
    <cellStyle name="RISKtrCorner 7 13" xfId="7015" xr:uid="{2AAF1EDE-C809-4934-B803-9D55B8E07244}"/>
    <cellStyle name="RISKtrCorner 7 13 2" xfId="10160" xr:uid="{DB8FAA76-2D1B-4EB6-A384-05A4A38ED5C6}"/>
    <cellStyle name="RISKtrCorner 7 14" xfId="7264" xr:uid="{5354443E-0659-4362-9CBF-D8A1C518072B}"/>
    <cellStyle name="RISKtrCorner 7 14 2" xfId="10403" xr:uid="{D0B58CF0-2A86-4C66-997E-C6CFDD8F2F93}"/>
    <cellStyle name="RISKtrCorner 7 15" xfId="7618" xr:uid="{B625597A-F8EA-4032-AFCF-A5DA79F7F7F3}"/>
    <cellStyle name="RISKtrCorner 7 15 2" xfId="10752" xr:uid="{7CCFAB13-9D21-46F3-9DE3-3EF23CCA8B51}"/>
    <cellStyle name="RISKtrCorner 7 16" xfId="7756" xr:uid="{D194D803-E57E-45FC-94BE-1A8B204732F4}"/>
    <cellStyle name="RISKtrCorner 7 16 2" xfId="10889" xr:uid="{614DC8DB-4740-4B75-B260-DA511D7D6A99}"/>
    <cellStyle name="RISKtrCorner 7 17" xfId="4640" xr:uid="{BA400B07-4203-4C7F-9467-DD42AF25B761}"/>
    <cellStyle name="RISKtrCorner 7 18" xfId="7860" xr:uid="{BC85C346-187E-4A6E-8C01-7F807F4901A9}"/>
    <cellStyle name="RISKtrCorner 7 19" xfId="11142" xr:uid="{4A0ADF11-C8C4-4D4B-A8EB-38D914E12032}"/>
    <cellStyle name="RISKtrCorner 7 2" xfId="1152" xr:uid="{00000000-0005-0000-0000-0000FA070000}"/>
    <cellStyle name="RISKtrCorner 7 2 10" xfId="3335" xr:uid="{AB5839D6-5FB2-43B0-8C16-13CFA5DB4097}"/>
    <cellStyle name="RISKtrCorner 7 2 10 2" xfId="6754" xr:uid="{87506770-F010-42AE-9EBB-A8A13B8D64A1}"/>
    <cellStyle name="RISKtrCorner 7 2 10 3" xfId="9919" xr:uid="{EE5E8AF9-23EF-49E5-8FE2-30E2DAF598DF}"/>
    <cellStyle name="RISKtrCorner 7 2 11" xfId="7016" xr:uid="{ED200F47-62D6-4723-96B3-49B15C5F7CB6}"/>
    <cellStyle name="RISKtrCorner 7 2 11 2" xfId="10161" xr:uid="{642EE6A5-54EA-49C6-9314-68176B1A252D}"/>
    <cellStyle name="RISKtrCorner 7 2 12" xfId="7265" xr:uid="{8BD49F9F-ABAB-4FAB-9BF7-8551486F7B7C}"/>
    <cellStyle name="RISKtrCorner 7 2 12 2" xfId="10404" xr:uid="{CFB2FEDF-033F-4A46-B8AC-CC16B99CF385}"/>
    <cellStyle name="RISKtrCorner 7 2 13" xfId="7619" xr:uid="{2F199EE9-AED1-4161-BE6C-10721D4D8310}"/>
    <cellStyle name="RISKtrCorner 7 2 13 2" xfId="10753" xr:uid="{45CFEEE6-CC6E-41D5-A755-9D07F3ECDBB9}"/>
    <cellStyle name="RISKtrCorner 7 2 14" xfId="7757" xr:uid="{2FD3ECA2-7924-4705-A029-C61BF4B1B651}"/>
    <cellStyle name="RISKtrCorner 7 2 14 2" xfId="10890" xr:uid="{571FB288-5DE8-4E41-B047-77E83959B084}"/>
    <cellStyle name="RISKtrCorner 7 2 15" xfId="4641" xr:uid="{63B13059-E151-4C3A-93EA-B8ECC06F9B66}"/>
    <cellStyle name="RISKtrCorner 7 2 16" xfId="7861" xr:uid="{0A3FD56E-BCF0-403C-9E89-F7EEA0A583EA}"/>
    <cellStyle name="RISKtrCorner 7 2 17" xfId="11143" xr:uid="{A399FBD7-0597-4A23-9C51-6D53862A6127}"/>
    <cellStyle name="RISKtrCorner 7 2 18" xfId="11559" xr:uid="{04B753A0-90F8-46EC-825E-3415D487DDD3}"/>
    <cellStyle name="RISKtrCorner 7 2 19" xfId="11708" xr:uid="{2E945591-0F69-4695-849F-4D426DED52F2}"/>
    <cellStyle name="RISKtrCorner 7 2 2" xfId="1411" xr:uid="{00000000-0005-0000-0000-0000FB070000}"/>
    <cellStyle name="RISKtrCorner 7 2 2 2" xfId="3522" xr:uid="{C2156A6B-157D-435B-AE26-EEAA840A7C36}"/>
    <cellStyle name="RISKtrCorner 7 2 2 3" xfId="4828" xr:uid="{30FB2996-1646-4694-A99B-FAC21A937982}"/>
    <cellStyle name="RISKtrCorner 7 2 2 4" xfId="8038" xr:uid="{E1650599-2900-4587-A7C4-71E71F4BDBAE}"/>
    <cellStyle name="RISKtrCorner 7 2 20" xfId="12002" xr:uid="{CBE2F11F-D88F-4536-9F1F-48563B08EACF}"/>
    <cellStyle name="RISKtrCorner 7 2 21" xfId="12254" xr:uid="{E97EC24E-5A1B-44AC-AA6E-FDD3BBAD9E6B}"/>
    <cellStyle name="RISKtrCorner 7 2 22" xfId="12696" xr:uid="{E3589B14-598E-49BE-88EC-50454027640B}"/>
    <cellStyle name="RISKtrCorner 7 2 23" xfId="12861" xr:uid="{C1BC072F-2E42-4E66-8BD4-01FC65356E33}"/>
    <cellStyle name="RISKtrCorner 7 2 24" xfId="13002" xr:uid="{D4BB89E0-5F4D-4744-98E4-D17A693D9856}"/>
    <cellStyle name="RISKtrCorner 7 2 25" xfId="13364" xr:uid="{E40C8A34-D9C5-4FEF-BC90-53D4B30372D5}"/>
    <cellStyle name="RISKtrCorner 7 2 26" xfId="13493" xr:uid="{EFFB941A-E82D-4C4A-9E69-262FA3D8F040}"/>
    <cellStyle name="RISKtrCorner 7 2 3" xfId="1660" xr:uid="{00000000-0005-0000-0000-0000FC070000}"/>
    <cellStyle name="RISKtrCorner 7 2 3 2" xfId="3761" xr:uid="{8B219AB4-9E46-4833-ADA2-FBA8364F4B1D}"/>
    <cellStyle name="RISKtrCorner 7 2 3 3" xfId="5069" xr:uid="{A0B3BE53-88F8-4573-9DD2-56F441B52A0C}"/>
    <cellStyle name="RISKtrCorner 7 2 3 4" xfId="8276" xr:uid="{D79AD354-B669-42BE-AD10-A73EF34301CF}"/>
    <cellStyle name="RISKtrCorner 7 2 4" xfId="1917" xr:uid="{00000000-0005-0000-0000-0000FD070000}"/>
    <cellStyle name="RISKtrCorner 7 2 4 2" xfId="4017" xr:uid="{435D117E-0F1C-427E-9DA7-FDBB9D011A95}"/>
    <cellStyle name="RISKtrCorner 7 2 4 3" xfId="5321" xr:uid="{C77E19B2-AC54-4851-A99C-F39FBBEE266D}"/>
    <cellStyle name="RISKtrCorner 7 2 4 4" xfId="8515" xr:uid="{FED36524-0A3A-4FB7-9635-120875447486}"/>
    <cellStyle name="RISKtrCorner 7 2 5" xfId="2171" xr:uid="{00000000-0005-0000-0000-0000FE070000}"/>
    <cellStyle name="RISKtrCorner 7 2 5 2" xfId="4261" xr:uid="{B5BCA59D-61AC-4D0F-B9D6-6C55A18D1059}"/>
    <cellStyle name="RISKtrCorner 7 2 5 3" xfId="5559" xr:uid="{EA569A17-9EE5-4AE5-97B0-350D9D29191F}"/>
    <cellStyle name="RISKtrCorner 7 2 5 4" xfId="8751" xr:uid="{30930BCF-FB87-4EA8-B332-BA09CC75E3CE}"/>
    <cellStyle name="RISKtrCorner 7 2 6" xfId="2413" xr:uid="{A53DFA12-1F66-43D6-8D0E-A93BC57F847B}"/>
    <cellStyle name="RISKtrCorner 7 2 6 2" xfId="5795" xr:uid="{F69F20E0-A33D-4857-BDF8-C1C7A0B1E080}"/>
    <cellStyle name="RISKtrCorner 7 2 6 3" xfId="8987" xr:uid="{6104A89C-0771-4B98-AD67-293F0DF52187}"/>
    <cellStyle name="RISKtrCorner 7 2 7" xfId="2649" xr:uid="{19A8508A-AD5E-4D72-A46B-12A7A94F0861}"/>
    <cellStyle name="RISKtrCorner 7 2 7 2" xfId="6025" xr:uid="{264540A0-0966-46D7-9BF4-3E5E8A11FBE7}"/>
    <cellStyle name="RISKtrCorner 7 2 7 3" xfId="9217" xr:uid="{2890FEAE-0F87-47E5-9F10-2AFC55B7D141}"/>
    <cellStyle name="RISKtrCorner 7 2 8" xfId="2888" xr:uid="{93D5DAFA-E35C-4087-AB71-39CA54C98388}"/>
    <cellStyle name="RISKtrCorner 7 2 8 2" xfId="6258" xr:uid="{01C9D1AA-65CC-401C-9F35-A718F84D309E}"/>
    <cellStyle name="RISKtrCorner 7 2 8 3" xfId="9447" xr:uid="{05139821-6F11-42B0-8CF5-F91A1556DF58}"/>
    <cellStyle name="RISKtrCorner 7 2 9" xfId="3093" xr:uid="{7BAF6F51-2803-46B5-8AB1-A071FCC9F3AE}"/>
    <cellStyle name="RISKtrCorner 7 2 9 2" xfId="6491" xr:uid="{39C7095C-A694-402C-9EFD-85BF379E7AC9}"/>
    <cellStyle name="RISKtrCorner 7 2 9 3" xfId="9677" xr:uid="{F6EC03AF-A6E6-4B15-94E8-FF2E17F2624D}"/>
    <cellStyle name="RISKtrCorner 7 20" xfId="11558" xr:uid="{0AB7CE28-B11B-44EB-86DC-BD01BB5B140C}"/>
    <cellStyle name="RISKtrCorner 7 21" xfId="11707" xr:uid="{00BF1515-AE08-488B-90BF-95CCFDA0D37C}"/>
    <cellStyle name="RISKtrCorner 7 22" xfId="12001" xr:uid="{8285086B-5687-4EA9-A27F-8EA47AE96D89}"/>
    <cellStyle name="RISKtrCorner 7 23" xfId="12253" xr:uid="{4878C27B-C38E-4C3C-AFEA-110BC352FE93}"/>
    <cellStyle name="RISKtrCorner 7 24" xfId="12695" xr:uid="{9EC7D928-D422-4B40-B1D3-F34E55DB3E7B}"/>
    <cellStyle name="RISKtrCorner 7 25" xfId="12860" xr:uid="{51C23A05-31A3-45B9-A1C4-3C3FDF3DB576}"/>
    <cellStyle name="RISKtrCorner 7 26" xfId="13001" xr:uid="{FF778437-B039-46A8-BA65-2AF462152739}"/>
    <cellStyle name="RISKtrCorner 7 27" xfId="13363" xr:uid="{2D00A0D6-99C4-4732-AE6F-2ACA7533CCD8}"/>
    <cellStyle name="RISKtrCorner 7 28" xfId="13492" xr:uid="{9AB0820F-78DB-4549-962F-D2BD1F7E33B5}"/>
    <cellStyle name="RISKtrCorner 7 3" xfId="1153" xr:uid="{00000000-0005-0000-0000-0000FF070000}"/>
    <cellStyle name="RISKtrCorner 7 3 10" xfId="3336" xr:uid="{32F5E7BD-CAB4-4B28-98B4-9B895A529D86}"/>
    <cellStyle name="RISKtrCorner 7 3 10 2" xfId="6755" xr:uid="{BDB6DC24-C8C8-4358-8781-240075769C7C}"/>
    <cellStyle name="RISKtrCorner 7 3 10 3" xfId="9920" xr:uid="{ABEE794C-A982-4E81-8B36-1132F73C4FEC}"/>
    <cellStyle name="RISKtrCorner 7 3 11" xfId="7017" xr:uid="{B50A2EC0-E5D8-488D-B249-3AE6038D05F1}"/>
    <cellStyle name="RISKtrCorner 7 3 11 2" xfId="10162" xr:uid="{BD926C3A-8535-451A-BCAA-FED49D22D840}"/>
    <cellStyle name="RISKtrCorner 7 3 12" xfId="7266" xr:uid="{9906036A-6939-4357-ACBF-7A17608C6546}"/>
    <cellStyle name="RISKtrCorner 7 3 12 2" xfId="10405" xr:uid="{2CD094E1-D32B-4056-80C4-F829683D31BC}"/>
    <cellStyle name="RISKtrCorner 7 3 13" xfId="7620" xr:uid="{DA517612-8802-44D0-826C-8825B110E9CC}"/>
    <cellStyle name="RISKtrCorner 7 3 13 2" xfId="10754" xr:uid="{5B3C7526-52C1-44A4-999D-41C5AD31E63C}"/>
    <cellStyle name="RISKtrCorner 7 3 14" xfId="7758" xr:uid="{29D245D4-D94D-4CAB-A481-6D28C9C6BD43}"/>
    <cellStyle name="RISKtrCorner 7 3 14 2" xfId="10891" xr:uid="{F1BCAF25-6590-4BF7-8E56-8531B517FC35}"/>
    <cellStyle name="RISKtrCorner 7 3 15" xfId="4642" xr:uid="{1DEE4DCC-4777-4D9B-A471-2F6CA88F7C57}"/>
    <cellStyle name="RISKtrCorner 7 3 16" xfId="7862" xr:uid="{E35EC27B-22EE-4D3A-A422-CCD866CD9D05}"/>
    <cellStyle name="RISKtrCorner 7 3 17" xfId="11144" xr:uid="{6E7F76BE-984F-409B-A4D8-7F810507E30E}"/>
    <cellStyle name="RISKtrCorner 7 3 18" xfId="11560" xr:uid="{7F821F7A-28BA-49A2-A620-8BFE8A99F6B9}"/>
    <cellStyle name="RISKtrCorner 7 3 19" xfId="11709" xr:uid="{B37CF383-024B-41AC-B5E6-29CAB5676E5F}"/>
    <cellStyle name="RISKtrCorner 7 3 2" xfId="1412" xr:uid="{00000000-0005-0000-0000-000000080000}"/>
    <cellStyle name="RISKtrCorner 7 3 2 2" xfId="3523" xr:uid="{7F0FF1D9-2FFE-404E-B43A-1A15F3CF8FBF}"/>
    <cellStyle name="RISKtrCorner 7 3 2 3" xfId="4829" xr:uid="{FD209926-4FA9-4CA4-8B35-34084C0EEBD5}"/>
    <cellStyle name="RISKtrCorner 7 3 2 4" xfId="8039" xr:uid="{D1AA6B8D-31B9-4ADC-BE02-E0411905F98B}"/>
    <cellStyle name="RISKtrCorner 7 3 20" xfId="12003" xr:uid="{B7824A69-810E-491D-BD9D-E5E0E74AF382}"/>
    <cellStyle name="RISKtrCorner 7 3 21" xfId="12255" xr:uid="{B23096C5-2AB2-47E5-8C36-3101DA233673}"/>
    <cellStyle name="RISKtrCorner 7 3 22" xfId="12697" xr:uid="{B4440D4D-4B71-4FCC-B8FA-CB8EC5566130}"/>
    <cellStyle name="RISKtrCorner 7 3 23" xfId="12862" xr:uid="{61FC2CB9-5B64-49F4-A3B0-54676AF467E0}"/>
    <cellStyle name="RISKtrCorner 7 3 24" xfId="13003" xr:uid="{1CB5BB11-144C-4074-956B-9CD195053670}"/>
    <cellStyle name="RISKtrCorner 7 3 25" xfId="13365" xr:uid="{90D40A6A-6BE1-41F1-965D-BC4A1CB6D08D}"/>
    <cellStyle name="RISKtrCorner 7 3 26" xfId="13494" xr:uid="{B7C82667-F382-45B1-84AC-3006C15E5ABB}"/>
    <cellStyle name="RISKtrCorner 7 3 3" xfId="1661" xr:uid="{00000000-0005-0000-0000-000001080000}"/>
    <cellStyle name="RISKtrCorner 7 3 3 2" xfId="3762" xr:uid="{35E71CE9-A330-4145-9815-6032CDE225BC}"/>
    <cellStyle name="RISKtrCorner 7 3 3 3" xfId="5070" xr:uid="{D687943A-BEBE-41ED-9D86-5A09030A86F9}"/>
    <cellStyle name="RISKtrCorner 7 3 3 4" xfId="8277" xr:uid="{5490BAA4-6297-4187-BFA4-66BB76EEF738}"/>
    <cellStyle name="RISKtrCorner 7 3 4" xfId="1918" xr:uid="{00000000-0005-0000-0000-000002080000}"/>
    <cellStyle name="RISKtrCorner 7 3 4 2" xfId="4018" xr:uid="{16AF1B1B-D721-47F3-A23C-EC0D0A465BD1}"/>
    <cellStyle name="RISKtrCorner 7 3 4 3" xfId="5322" xr:uid="{72427010-D532-4574-AF80-1C571715E75B}"/>
    <cellStyle name="RISKtrCorner 7 3 4 4" xfId="8516" xr:uid="{2FD3629D-795E-49CD-B2A8-7F3BF992E0E5}"/>
    <cellStyle name="RISKtrCorner 7 3 5" xfId="2172" xr:uid="{00000000-0005-0000-0000-000003080000}"/>
    <cellStyle name="RISKtrCorner 7 3 5 2" xfId="4262" xr:uid="{F78D85C4-9399-4E26-916E-30CBD7DE4755}"/>
    <cellStyle name="RISKtrCorner 7 3 5 3" xfId="5560" xr:uid="{68F06C29-A473-4726-8742-816521B0624B}"/>
    <cellStyle name="RISKtrCorner 7 3 5 4" xfId="8752" xr:uid="{6C9CE305-4D92-4DB3-9D0C-B9156975947D}"/>
    <cellStyle name="RISKtrCorner 7 3 6" xfId="2414" xr:uid="{4F792D5A-ACA3-4FC1-9B84-A4FACCF194D6}"/>
    <cellStyle name="RISKtrCorner 7 3 6 2" xfId="5796" xr:uid="{64249ED4-7420-4032-9019-8322117AFC81}"/>
    <cellStyle name="RISKtrCorner 7 3 6 3" xfId="8988" xr:uid="{72C00555-7EDA-49AA-92CF-AF03010AD6BB}"/>
    <cellStyle name="RISKtrCorner 7 3 7" xfId="2650" xr:uid="{147D4480-3DA3-45F5-9BCA-39FA43182E21}"/>
    <cellStyle name="RISKtrCorner 7 3 7 2" xfId="6026" xr:uid="{BF7F8D74-0336-454E-8817-794804880E20}"/>
    <cellStyle name="RISKtrCorner 7 3 7 3" xfId="9218" xr:uid="{4203CACA-794F-406D-A142-5504CA6FC48A}"/>
    <cellStyle name="RISKtrCorner 7 3 8" xfId="2889" xr:uid="{F7793023-56E9-4414-AFA7-84457979DCAF}"/>
    <cellStyle name="RISKtrCorner 7 3 8 2" xfId="6259" xr:uid="{8DBAB8F1-3274-4E10-89DA-F21EF8B3F512}"/>
    <cellStyle name="RISKtrCorner 7 3 8 3" xfId="9448" xr:uid="{39A86D91-BB55-4EB9-9D82-D0DB84BCF868}"/>
    <cellStyle name="RISKtrCorner 7 3 9" xfId="3094" xr:uid="{A958B1C4-88B7-441C-8156-FFC58882CA6B}"/>
    <cellStyle name="RISKtrCorner 7 3 9 2" xfId="6492" xr:uid="{FDC0F463-6BFA-4BF3-8352-A35F8224C5EC}"/>
    <cellStyle name="RISKtrCorner 7 3 9 3" xfId="9678" xr:uid="{AA9A33D9-4351-4387-A6CF-CDE6257633BC}"/>
    <cellStyle name="RISKtrCorner 7 4" xfId="1410" xr:uid="{00000000-0005-0000-0000-000004080000}"/>
    <cellStyle name="RISKtrCorner 7 4 2" xfId="3521" xr:uid="{879A983F-B5C9-4D6D-AAE6-982FFC3E0A86}"/>
    <cellStyle name="RISKtrCorner 7 4 3" xfId="4827" xr:uid="{DE955CB0-BBD7-4C80-A27A-3BCEA1CC06BA}"/>
    <cellStyle name="RISKtrCorner 7 4 4" xfId="8037" xr:uid="{C4CFA587-7267-48C8-B84C-02C0E86F6795}"/>
    <cellStyle name="RISKtrCorner 7 5" xfId="1659" xr:uid="{00000000-0005-0000-0000-000005080000}"/>
    <cellStyle name="RISKtrCorner 7 5 2" xfId="3760" xr:uid="{82AC36C9-6795-4DA6-8DEC-752FACDED035}"/>
    <cellStyle name="RISKtrCorner 7 5 3" xfId="5068" xr:uid="{99B3F71D-5013-4D4D-99B0-3D16060069A5}"/>
    <cellStyle name="RISKtrCorner 7 5 4" xfId="8275" xr:uid="{1F23DACD-6253-4283-A55F-53EDBF6B767D}"/>
    <cellStyle name="RISKtrCorner 7 6" xfId="1916" xr:uid="{00000000-0005-0000-0000-000006080000}"/>
    <cellStyle name="RISKtrCorner 7 6 2" xfId="4016" xr:uid="{03543659-C73D-403E-A3B5-D68785FF7BF4}"/>
    <cellStyle name="RISKtrCorner 7 6 3" xfId="5320" xr:uid="{B16F106B-5E3E-4D35-B282-278964364BBF}"/>
    <cellStyle name="RISKtrCorner 7 6 4" xfId="8514" xr:uid="{0B4B8965-8EC7-4537-B90E-2FC9E294B9BD}"/>
    <cellStyle name="RISKtrCorner 7 7" xfId="2170" xr:uid="{00000000-0005-0000-0000-000007080000}"/>
    <cellStyle name="RISKtrCorner 7 7 2" xfId="4260" xr:uid="{DB07788A-70EF-4582-910C-4F1A843826A0}"/>
    <cellStyle name="RISKtrCorner 7 7 3" xfId="5558" xr:uid="{03D62D1E-2BCD-4AFA-AE5A-7CFF6DBE3563}"/>
    <cellStyle name="RISKtrCorner 7 7 4" xfId="8750" xr:uid="{E56E9DA1-B928-4887-AB3E-560B963A9E63}"/>
    <cellStyle name="RISKtrCorner 7 8" xfId="2412" xr:uid="{59C3716A-BF12-49BC-8FA0-9AEFAA0F023A}"/>
    <cellStyle name="RISKtrCorner 7 8 2" xfId="5794" xr:uid="{220A4FD5-CEC8-40BD-AD4C-140E49271F2C}"/>
    <cellStyle name="RISKtrCorner 7 8 3" xfId="8986" xr:uid="{E971A0BF-A8AE-42EA-A64C-92B7F0ED82E5}"/>
    <cellStyle name="RISKtrCorner 7 9" xfId="2648" xr:uid="{5E624EBF-901B-4006-BEB5-8E334212127A}"/>
    <cellStyle name="RISKtrCorner 7 9 2" xfId="6024" xr:uid="{D149E6B7-4363-4876-9EB8-564B22B37749}"/>
    <cellStyle name="RISKtrCorner 7 9 3" xfId="9216" xr:uid="{15DE6E79-E9C8-4502-8D1E-179F1F996019}"/>
    <cellStyle name="RISKtrCorner 8" xfId="1154" xr:uid="{00000000-0005-0000-0000-000008080000}"/>
    <cellStyle name="RISKtrCorner 8 10" xfId="3337" xr:uid="{F5AEF5FA-08DE-4960-A2D4-0D8C172568CF}"/>
    <cellStyle name="RISKtrCorner 8 10 2" xfId="6756" xr:uid="{0275A5BA-B687-4243-9CB6-254644429443}"/>
    <cellStyle name="RISKtrCorner 8 10 3" xfId="9921" xr:uid="{FA35E957-3F14-4015-A031-112E1242C5A7}"/>
    <cellStyle name="RISKtrCorner 8 11" xfId="7018" xr:uid="{20A0E84B-AE0C-4E31-ACFD-756BB55926F1}"/>
    <cellStyle name="RISKtrCorner 8 11 2" xfId="10163" xr:uid="{087067FD-DE1C-410A-9762-B76DDF1D2D0C}"/>
    <cellStyle name="RISKtrCorner 8 12" xfId="7267" xr:uid="{603CA654-2BF7-411B-AAA7-66F83FE01833}"/>
    <cellStyle name="RISKtrCorner 8 12 2" xfId="10406" xr:uid="{79F7B0EC-6E95-45C8-8FA2-2273FF0B70F4}"/>
    <cellStyle name="RISKtrCorner 8 13" xfId="7621" xr:uid="{A0290FEA-C896-4FDC-8B47-B4504141CA82}"/>
    <cellStyle name="RISKtrCorner 8 13 2" xfId="10755" xr:uid="{E020BCEE-DCEF-4CEC-B2DA-52CC37AD078D}"/>
    <cellStyle name="RISKtrCorner 8 14" xfId="7759" xr:uid="{13BC114F-9C04-4324-8760-0BDF2B41EC6B}"/>
    <cellStyle name="RISKtrCorner 8 14 2" xfId="10892" xr:uid="{CE04CFC7-2137-4106-93B1-A5E24A0B724B}"/>
    <cellStyle name="RISKtrCorner 8 15" xfId="4643" xr:uid="{874D5643-42F7-4E55-A7AD-96B2914A460E}"/>
    <cellStyle name="RISKtrCorner 8 16" xfId="7863" xr:uid="{0F959A32-85CE-403F-9EA5-640A1196AF41}"/>
    <cellStyle name="RISKtrCorner 8 17" xfId="11145" xr:uid="{CB4790C8-4408-48A3-8B82-85D9DB324EE1}"/>
    <cellStyle name="RISKtrCorner 8 18" xfId="11561" xr:uid="{FEA95CB2-B148-4840-B602-A264B4297888}"/>
    <cellStyle name="RISKtrCorner 8 19" xfId="11710" xr:uid="{3002A1F8-AA4D-49CA-8E04-C26526798609}"/>
    <cellStyle name="RISKtrCorner 8 2" xfId="1413" xr:uid="{00000000-0005-0000-0000-000009080000}"/>
    <cellStyle name="RISKtrCorner 8 2 2" xfId="3524" xr:uid="{F4B56319-F8EE-4E94-B3A9-810A1AF03DBD}"/>
    <cellStyle name="RISKtrCorner 8 2 3" xfId="4830" xr:uid="{8DB60F9E-93D1-45F0-8F10-ED8C8364B591}"/>
    <cellStyle name="RISKtrCorner 8 2 4" xfId="8040" xr:uid="{49B3EE01-C0E3-4B76-8907-6381E4C75174}"/>
    <cellStyle name="RISKtrCorner 8 20" xfId="12004" xr:uid="{0D8BE0FA-49C3-4AC2-A067-4C7EEA52E388}"/>
    <cellStyle name="RISKtrCorner 8 21" xfId="12256" xr:uid="{4D96F73A-55AB-4A27-B092-71EB9BE7D420}"/>
    <cellStyle name="RISKtrCorner 8 22" xfId="12698" xr:uid="{7671429E-6BF5-43B8-BDFF-FA395233C0CD}"/>
    <cellStyle name="RISKtrCorner 8 23" xfId="12863" xr:uid="{4C40B10A-946C-46C1-8742-9C3E91FCC2B8}"/>
    <cellStyle name="RISKtrCorner 8 24" xfId="13004" xr:uid="{4A921AD8-C0A5-4545-A5BE-8AD2FA12BAE2}"/>
    <cellStyle name="RISKtrCorner 8 25" xfId="13366" xr:uid="{BFA08D38-6C3F-47B8-BCA5-794257DCCEAA}"/>
    <cellStyle name="RISKtrCorner 8 26" xfId="13495" xr:uid="{EA0C51FF-01D3-410E-A5C9-62CF34EC419E}"/>
    <cellStyle name="RISKtrCorner 8 3" xfId="1662" xr:uid="{00000000-0005-0000-0000-00000A080000}"/>
    <cellStyle name="RISKtrCorner 8 3 2" xfId="3763" xr:uid="{E08CFB3B-2440-45F6-ACD1-8156B13B85FC}"/>
    <cellStyle name="RISKtrCorner 8 3 3" xfId="5071" xr:uid="{904195C3-4DDF-4320-8BF1-04D23EC9744B}"/>
    <cellStyle name="RISKtrCorner 8 3 4" xfId="8278" xr:uid="{F3520E7F-E59E-479F-8047-ACBE90D93454}"/>
    <cellStyle name="RISKtrCorner 8 4" xfId="1919" xr:uid="{00000000-0005-0000-0000-00000B080000}"/>
    <cellStyle name="RISKtrCorner 8 4 2" xfId="4019" xr:uid="{FAFE40B0-CB71-42F8-B28D-5E417144890F}"/>
    <cellStyle name="RISKtrCorner 8 4 3" xfId="5323" xr:uid="{72956030-B03A-4ECC-8741-148EB2D68827}"/>
    <cellStyle name="RISKtrCorner 8 4 4" xfId="8517" xr:uid="{3F261DD5-7C08-460B-9B92-F8DF62186CD8}"/>
    <cellStyle name="RISKtrCorner 8 5" xfId="2173" xr:uid="{00000000-0005-0000-0000-00000C080000}"/>
    <cellStyle name="RISKtrCorner 8 5 2" xfId="4263" xr:uid="{38BCECC4-1C29-4A8E-93EA-789887A128FC}"/>
    <cellStyle name="RISKtrCorner 8 5 3" xfId="5561" xr:uid="{68385040-9718-4B48-B501-891C20228977}"/>
    <cellStyle name="RISKtrCorner 8 5 4" xfId="8753" xr:uid="{950A6B39-37C8-4A60-A627-54D94FFEC3F6}"/>
    <cellStyle name="RISKtrCorner 8 6" xfId="2415" xr:uid="{C4E4C1C8-DD94-4C21-BC90-2BB9C975CF5F}"/>
    <cellStyle name="RISKtrCorner 8 6 2" xfId="5797" xr:uid="{9486ACDE-ACBA-40B5-8CA7-A5A9E7CF41B5}"/>
    <cellStyle name="RISKtrCorner 8 6 3" xfId="8989" xr:uid="{4AABEB04-6863-46A9-A664-35DD3ECF46F4}"/>
    <cellStyle name="RISKtrCorner 8 7" xfId="2651" xr:uid="{4C0D3D88-ECDE-43A0-ACD9-7C2850F9A354}"/>
    <cellStyle name="RISKtrCorner 8 7 2" xfId="6027" xr:uid="{13089DF3-D144-4137-835C-95FFEB59C946}"/>
    <cellStyle name="RISKtrCorner 8 7 3" xfId="9219" xr:uid="{A90584F5-5AC9-457F-A042-71BD2E728504}"/>
    <cellStyle name="RISKtrCorner 8 8" xfId="2890" xr:uid="{0381F801-9999-4973-9F74-E7D3F34F75F7}"/>
    <cellStyle name="RISKtrCorner 8 8 2" xfId="6260" xr:uid="{A63FABBF-13E6-4359-A837-C07F9DC3D39A}"/>
    <cellStyle name="RISKtrCorner 8 8 3" xfId="9449" xr:uid="{B18B5424-F165-4421-AF5C-196B315719A2}"/>
    <cellStyle name="RISKtrCorner 8 9" xfId="3095" xr:uid="{27C6389E-4431-4C00-B79E-68F078727687}"/>
    <cellStyle name="RISKtrCorner 8 9 2" xfId="6493" xr:uid="{499C6E5F-C2CE-4BBB-AD0A-C0B78F68EAC8}"/>
    <cellStyle name="RISKtrCorner 8 9 3" xfId="9679" xr:uid="{0A2120B9-D132-4C6B-B312-F1ABE0F06595}"/>
    <cellStyle name="RISKtrCorner 9" xfId="1399" xr:uid="{00000000-0005-0000-0000-00000D080000}"/>
    <cellStyle name="RISKtrCorner 9 2" xfId="3510" xr:uid="{361A836A-8F6F-472C-87FD-A178F0785F98}"/>
    <cellStyle name="RISKtrCorner 9 3" xfId="4816" xr:uid="{D37C8D41-808E-4565-BBDB-A2D87992AA02}"/>
    <cellStyle name="RISKtrCorner 9 4" xfId="8026" xr:uid="{B361CBEE-DC6B-48E8-A988-A6998315EEDC}"/>
    <cellStyle name="Salida 2" xfId="1155" xr:uid="{00000000-0005-0000-0000-00000E080000}"/>
    <cellStyle name="Salida 2 10" xfId="7019" xr:uid="{CE860E4B-D413-4C78-963C-F57C566BF8DD}"/>
    <cellStyle name="Salida 2 10 2" xfId="10164" xr:uid="{4909057C-4943-439B-B908-FAEB2B756F3C}"/>
    <cellStyle name="Salida 2 11" xfId="7268" xr:uid="{8A7FD8FD-285E-4D61-8E88-A994766CCD0B}"/>
    <cellStyle name="Salida 2 11 2" xfId="10407" xr:uid="{4EC070FC-F1B7-4C39-BF39-D8FA9878F10F}"/>
    <cellStyle name="Salida 2 12" xfId="7622" xr:uid="{259D0D6C-FE61-45E3-881C-2ADF80D818B1}"/>
    <cellStyle name="Salida 2 12 2" xfId="10756" xr:uid="{BBDBEA9E-4A2E-4A9A-B1E7-F2F161010A29}"/>
    <cellStyle name="Salida 2 13" xfId="7760" xr:uid="{FAC0F090-3837-4936-BD3E-4835E0703120}"/>
    <cellStyle name="Salida 2 13 2" xfId="10893" xr:uid="{6E9E24B3-6A8A-486B-B3E6-39C5DA482AF9}"/>
    <cellStyle name="Salida 2 14" xfId="4644" xr:uid="{A354F760-F58F-4EAB-AC97-9F60D2A99CBF}"/>
    <cellStyle name="Salida 2 15" xfId="7864" xr:uid="{9C870577-1B8D-4F90-B2AC-8286B0591F6A}"/>
    <cellStyle name="Salida 2 16" xfId="11146" xr:uid="{59B08A8C-0D9B-4085-A9C1-456AA37EDF12}"/>
    <cellStyle name="Salida 2 17" xfId="11562" xr:uid="{AAC8BD25-BD9E-4BBF-B940-9C4080B7A3D3}"/>
    <cellStyle name="Salida 2 18" xfId="11711" xr:uid="{47A24462-8C43-4901-AF23-B500B4B23F44}"/>
    <cellStyle name="Salida 2 19" xfId="12257" xr:uid="{9B948002-ADAD-46D5-A7D4-A67D1715B1C9}"/>
    <cellStyle name="Salida 2 2" xfId="1663" xr:uid="{00000000-0005-0000-0000-00000F080000}"/>
    <cellStyle name="Salida 2 2 2" xfId="3764" xr:uid="{142436A8-6945-43E6-B742-CF127B993D5B}"/>
    <cellStyle name="Salida 2 2 3" xfId="5072" xr:uid="{0D66A9DE-DA2B-480D-83A5-E552006999DC}"/>
    <cellStyle name="Salida 2 2 4" xfId="8279" xr:uid="{63723DCF-DA7B-42DB-9BCD-1BC44D25BD99}"/>
    <cellStyle name="Salida 2 20" xfId="12699" xr:uid="{DE7E64EF-18EE-4999-9007-B066B5297105}"/>
    <cellStyle name="Salida 2 21" xfId="12864" xr:uid="{84BB3836-4DEB-4C36-9A25-B2F6F1975D01}"/>
    <cellStyle name="Salida 2 22" xfId="13005" xr:uid="{C0C73407-73AF-4A8F-BABA-A36C3890F3BC}"/>
    <cellStyle name="Salida 2 23" xfId="13367" xr:uid="{A231C020-2B03-40D8-B253-961FA25C7E4F}"/>
    <cellStyle name="Salida 2 24" xfId="13496" xr:uid="{FA83DCA8-0B36-48F2-8315-09689CD2E5F0}"/>
    <cellStyle name="Salida 2 3" xfId="1920" xr:uid="{00000000-0005-0000-0000-000010080000}"/>
    <cellStyle name="Salida 2 3 2" xfId="4020" xr:uid="{1800A0D8-5700-4E30-B8A6-49168D9E7F06}"/>
    <cellStyle name="Salida 2 3 3" xfId="5324" xr:uid="{CA5C00DD-F57D-425A-BE26-1A0BD64089FE}"/>
    <cellStyle name="Salida 2 3 4" xfId="8518" xr:uid="{43087872-D086-43AE-87FC-2C485465C73E}"/>
    <cellStyle name="Salida 2 4" xfId="2174" xr:uid="{00000000-0005-0000-0000-000011080000}"/>
    <cellStyle name="Salida 2 4 2" xfId="4264" xr:uid="{1CAD724C-9B82-451F-A4F6-C9D75C5603F4}"/>
    <cellStyle name="Salida 2 4 3" xfId="5562" xr:uid="{045B2936-7D7E-47D6-884D-5A8361B10920}"/>
    <cellStyle name="Salida 2 4 4" xfId="8754" xr:uid="{AA83E81E-73B6-47E5-8CB0-5DE8AFF8512E}"/>
    <cellStyle name="Salida 2 5" xfId="2416" xr:uid="{DE06914A-09C6-455A-8850-2A2F338E666D}"/>
    <cellStyle name="Salida 2 5 2" xfId="5798" xr:uid="{63702AAB-798D-420B-A5F6-5E0E32EBB54F}"/>
    <cellStyle name="Salida 2 5 3" xfId="8990" xr:uid="{5773F3A0-09C0-44A6-8529-41CC355591EC}"/>
    <cellStyle name="Salida 2 6" xfId="2652" xr:uid="{A6F5D44B-D0E2-473F-9291-E6AC2740911D}"/>
    <cellStyle name="Salida 2 6 2" xfId="6028" xr:uid="{BE8E20C9-B3C9-4744-B803-C615BB7D576B}"/>
    <cellStyle name="Salida 2 6 3" xfId="9220" xr:uid="{ECCE4946-59F9-4387-A518-8C23D2780124}"/>
    <cellStyle name="Salida 2 7" xfId="2891" xr:uid="{D50C9553-0594-4C93-91DF-2F75239BEC2A}"/>
    <cellStyle name="Salida 2 7 2" xfId="6261" xr:uid="{E5F676B2-83AD-4C41-85F5-736013A2B0B4}"/>
    <cellStyle name="Salida 2 7 3" xfId="9450" xr:uid="{72C2DBD8-E098-442B-A8FF-3333EF29A12A}"/>
    <cellStyle name="Salida 2 8" xfId="3096" xr:uid="{8EFD1961-B3D3-4468-88F2-559A46F96014}"/>
    <cellStyle name="Salida 2 8 2" xfId="6494" xr:uid="{67147726-B32C-43F7-944F-021D5DA68B9F}"/>
    <cellStyle name="Salida 2 8 3" xfId="9680" xr:uid="{A615DC33-BEDF-4522-A1EB-0BDCC6C9E44B}"/>
    <cellStyle name="Salida 2 9" xfId="3338" xr:uid="{6080E5ED-4126-479B-8F1F-3850C3E7017F}"/>
    <cellStyle name="Salida 2 9 2" xfId="6757" xr:uid="{004CD05B-83E1-454D-82A3-DE4079E257DB}"/>
    <cellStyle name="Salida 2 9 3" xfId="9922" xr:uid="{4F15936A-7F82-4EB4-B670-DB2661E96A5D}"/>
    <cellStyle name="Salida 3" xfId="1156" xr:uid="{00000000-0005-0000-0000-000012080000}"/>
    <cellStyle name="Salida 3 10" xfId="7020" xr:uid="{E278D346-A913-4648-ACCC-A28422066E8B}"/>
    <cellStyle name="Salida 3 10 2" xfId="10165" xr:uid="{5EF6798B-D8B5-443F-92D8-36643B4638C9}"/>
    <cellStyle name="Salida 3 11" xfId="7269" xr:uid="{D046131D-EFF5-40CB-879F-5B1BE07CF52F}"/>
    <cellStyle name="Salida 3 11 2" xfId="10408" xr:uid="{CAF4C629-8307-42B2-B7BF-FDF63F837D79}"/>
    <cellStyle name="Salida 3 12" xfId="7623" xr:uid="{8D7AED11-9FC3-45A5-A211-60150EA2A8AE}"/>
    <cellStyle name="Salida 3 12 2" xfId="10757" xr:uid="{65C3F1D5-FF97-4A44-9C51-63ED530E1453}"/>
    <cellStyle name="Salida 3 13" xfId="7761" xr:uid="{6793C949-C134-4F73-94EE-4857A0E67BCE}"/>
    <cellStyle name="Salida 3 13 2" xfId="10894" xr:uid="{813B10C2-FAD1-4FC5-A3CA-10139D92B1D3}"/>
    <cellStyle name="Salida 3 14" xfId="4645" xr:uid="{2D37287B-6A77-4034-B7DC-F3E33A38A39D}"/>
    <cellStyle name="Salida 3 15" xfId="7865" xr:uid="{086DD9F1-2C8A-496E-999F-8F1642294C62}"/>
    <cellStyle name="Salida 3 16" xfId="11147" xr:uid="{242EBE4C-3590-4E5A-96C7-B3BAA13CE97A}"/>
    <cellStyle name="Salida 3 17" xfId="11563" xr:uid="{3E67A187-9292-4AA1-8DF2-BA46CEB14E27}"/>
    <cellStyle name="Salida 3 18" xfId="11712" xr:uid="{DEBD2B33-43AA-407E-A2F1-E1F0CB8ED1A4}"/>
    <cellStyle name="Salida 3 19" xfId="12258" xr:uid="{A1DEAD0A-4AD9-4C09-B011-8880B565D0F6}"/>
    <cellStyle name="Salida 3 2" xfId="1664" xr:uid="{00000000-0005-0000-0000-000013080000}"/>
    <cellStyle name="Salida 3 2 2" xfId="3765" xr:uid="{994D21EE-D4AA-4C37-BDA2-8E34D3AC77C9}"/>
    <cellStyle name="Salida 3 2 3" xfId="5073" xr:uid="{B809702D-CDBE-4678-9AA7-68065E549C17}"/>
    <cellStyle name="Salida 3 2 4" xfId="8280" xr:uid="{9DAB38EB-F732-40FE-BBEA-211C3D70EC2F}"/>
    <cellStyle name="Salida 3 20" xfId="12700" xr:uid="{55E13357-7AF4-4196-8F58-EF31AA50B6ED}"/>
    <cellStyle name="Salida 3 21" xfId="12865" xr:uid="{2DAED75A-AFDC-4B3F-A722-D1BF5BB895A8}"/>
    <cellStyle name="Salida 3 22" xfId="13006" xr:uid="{2631D631-9578-4C26-AF05-535E1077C29E}"/>
    <cellStyle name="Salida 3 23" xfId="13368" xr:uid="{226C0191-1163-4198-B85B-1BA17B9575B5}"/>
    <cellStyle name="Salida 3 24" xfId="13497" xr:uid="{56BEF886-E0D5-4B2E-A160-4A4F4ECA7CA2}"/>
    <cellStyle name="Salida 3 3" xfId="1921" xr:uid="{00000000-0005-0000-0000-000014080000}"/>
    <cellStyle name="Salida 3 3 2" xfId="4021" xr:uid="{548F9AF4-F4B6-4B60-B041-D55F60B7702D}"/>
    <cellStyle name="Salida 3 3 3" xfId="5325" xr:uid="{9D0C9B8E-FD69-47E5-9A46-B8D539A52FB1}"/>
    <cellStyle name="Salida 3 3 4" xfId="8519" xr:uid="{95076B53-BAC9-4E1F-9616-663D83F42803}"/>
    <cellStyle name="Salida 3 4" xfId="2175" xr:uid="{00000000-0005-0000-0000-000015080000}"/>
    <cellStyle name="Salida 3 4 2" xfId="4265" xr:uid="{EC489B45-BDC7-43A6-A932-9C058E949F11}"/>
    <cellStyle name="Salida 3 4 3" xfId="5563" xr:uid="{36532BBC-24FC-4DBF-BC8E-3ED0E149EC70}"/>
    <cellStyle name="Salida 3 4 4" xfId="8755" xr:uid="{4EE21D72-744D-466E-B2FB-47F5FDDF36F5}"/>
    <cellStyle name="Salida 3 5" xfId="2417" xr:uid="{5CB15A5C-D0BE-4E54-8E53-E7D9135B68A4}"/>
    <cellStyle name="Salida 3 5 2" xfId="5799" xr:uid="{FAF1DEDE-88C7-479D-83C8-4351124F365C}"/>
    <cellStyle name="Salida 3 5 3" xfId="8991" xr:uid="{B97DFDD5-A159-4B1C-B4BA-DE5508888161}"/>
    <cellStyle name="Salida 3 6" xfId="2653" xr:uid="{112E113C-2C5A-4B51-8B40-4B51AD955734}"/>
    <cellStyle name="Salida 3 6 2" xfId="6029" xr:uid="{5A51955F-7FB0-43F4-93FA-5B27484627F0}"/>
    <cellStyle name="Salida 3 6 3" xfId="9221" xr:uid="{7540683A-61A7-4DF2-AC30-5E82C9BA58E2}"/>
    <cellStyle name="Salida 3 7" xfId="2892" xr:uid="{277E840D-66BA-4831-81FE-A8DBA2FC4C80}"/>
    <cellStyle name="Salida 3 7 2" xfId="6262" xr:uid="{10843DE2-416E-44CC-822C-143F011C4401}"/>
    <cellStyle name="Salida 3 7 3" xfId="9451" xr:uid="{447EBFE0-CA9A-4A2F-B72C-FF7AEA5865EF}"/>
    <cellStyle name="Salida 3 8" xfId="3097" xr:uid="{53EA5CCA-FA5F-4DB7-9F8B-C7D61EE8EE09}"/>
    <cellStyle name="Salida 3 8 2" xfId="6495" xr:uid="{ADFC13B1-D9CC-414C-9333-BC337E65A725}"/>
    <cellStyle name="Salida 3 8 3" xfId="9681" xr:uid="{53D6E2AD-6A16-472C-8A51-A8DF8B962D65}"/>
    <cellStyle name="Salida 3 9" xfId="3339" xr:uid="{518BA3E6-3D43-494F-BA96-0852D7737C1F}"/>
    <cellStyle name="Salida 3 9 2" xfId="6758" xr:uid="{24FD95BD-FBF5-4FFF-BFB2-59900CD0EDD0}"/>
    <cellStyle name="Salida 3 9 3" xfId="9923" xr:uid="{0CF99330-500F-43DC-BC44-1BBDA11F3FDC}"/>
    <cellStyle name="Salida 4" xfId="1157" xr:uid="{00000000-0005-0000-0000-000016080000}"/>
    <cellStyle name="Salida 4 10" xfId="7021" xr:uid="{B809E571-4373-4621-BECD-F143D6278A8F}"/>
    <cellStyle name="Salida 4 10 2" xfId="10166" xr:uid="{80D2577E-9229-4330-A513-CC3E1C01EF5F}"/>
    <cellStyle name="Salida 4 11" xfId="7270" xr:uid="{6FCA1864-CCD3-4340-8619-E4B7119FEC1D}"/>
    <cellStyle name="Salida 4 11 2" xfId="10409" xr:uid="{18B37F33-837A-435B-A025-6F2811FBA483}"/>
    <cellStyle name="Salida 4 12" xfId="7624" xr:uid="{C9E345D2-AF9C-4FB3-BB2E-4FCE82BAA626}"/>
    <cellStyle name="Salida 4 12 2" xfId="10758" xr:uid="{88028BCB-19A6-42C4-919B-46EFDDE369F9}"/>
    <cellStyle name="Salida 4 13" xfId="7762" xr:uid="{AFED878F-7FB7-4927-A9B7-B81211B335C9}"/>
    <cellStyle name="Salida 4 13 2" xfId="10895" xr:uid="{9F7101EA-B54A-4AD1-B475-6C4C4BA8D933}"/>
    <cellStyle name="Salida 4 14" xfId="4646" xr:uid="{1BFA5BC4-5FBD-4B4B-875F-F52EC251AA5D}"/>
    <cellStyle name="Salida 4 15" xfId="7866" xr:uid="{17323D5D-1B86-4AF0-8419-9F9305F48573}"/>
    <cellStyle name="Salida 4 16" xfId="11148" xr:uid="{1A53C97A-FCE4-47A2-B7D4-38C940ECB0F1}"/>
    <cellStyle name="Salida 4 17" xfId="11564" xr:uid="{48FD23F0-F3CB-4F44-B9F2-23D11996D974}"/>
    <cellStyle name="Salida 4 18" xfId="11713" xr:uid="{344D6DC7-551C-4F1D-BABA-73E833E72B7C}"/>
    <cellStyle name="Salida 4 19" xfId="12259" xr:uid="{F922B13C-F05A-4C13-90E1-5B0592C87F48}"/>
    <cellStyle name="Salida 4 2" xfId="1665" xr:uid="{00000000-0005-0000-0000-000017080000}"/>
    <cellStyle name="Salida 4 2 2" xfId="3766" xr:uid="{00086331-6132-425C-8580-A63E148C4849}"/>
    <cellStyle name="Salida 4 2 3" xfId="5074" xr:uid="{1A5C847D-F081-4508-A7B0-2412367801E7}"/>
    <cellStyle name="Salida 4 2 4" xfId="8281" xr:uid="{B34D1656-C264-43B8-BFF1-4187A431B668}"/>
    <cellStyle name="Salida 4 20" xfId="12701" xr:uid="{661DFB97-B40E-435C-A30E-D3602299CE60}"/>
    <cellStyle name="Salida 4 21" xfId="12866" xr:uid="{CEDE1C4A-7868-4D6F-A5F8-698E676670A2}"/>
    <cellStyle name="Salida 4 22" xfId="13007" xr:uid="{5CE49F5A-8947-48E7-82F9-AB18B8EAB432}"/>
    <cellStyle name="Salida 4 23" xfId="13369" xr:uid="{2DD36529-2506-4207-A223-0120F03EB033}"/>
    <cellStyle name="Salida 4 24" xfId="13498" xr:uid="{D6C1EECB-024F-493B-9126-CD9B8BA8E1FD}"/>
    <cellStyle name="Salida 4 3" xfId="1922" xr:uid="{00000000-0005-0000-0000-000018080000}"/>
    <cellStyle name="Salida 4 3 2" xfId="4022" xr:uid="{0D578F55-3360-4618-B2B2-EFA6BBEFC3F5}"/>
    <cellStyle name="Salida 4 3 3" xfId="5326" xr:uid="{D6BA5245-8E11-4848-9682-6249C3E584ED}"/>
    <cellStyle name="Salida 4 3 4" xfId="8520" xr:uid="{3AC5A24A-15E8-40C4-8729-99AB3E542A3A}"/>
    <cellStyle name="Salida 4 4" xfId="2176" xr:uid="{00000000-0005-0000-0000-000019080000}"/>
    <cellStyle name="Salida 4 4 2" xfId="4266" xr:uid="{C01F7D87-0837-4902-A226-2593E59E223E}"/>
    <cellStyle name="Salida 4 4 3" xfId="5564" xr:uid="{F9828911-7A99-4FD6-9976-61375E77FF7A}"/>
    <cellStyle name="Salida 4 4 4" xfId="8756" xr:uid="{379010C3-1D13-4A69-A1D2-78F25E63C008}"/>
    <cellStyle name="Salida 4 5" xfId="2418" xr:uid="{5677FE55-E039-4EA1-9FA7-8CE7D5C4BB72}"/>
    <cellStyle name="Salida 4 5 2" xfId="5800" xr:uid="{8FCE4029-D5BE-400D-8ABE-8ECD2B5FBA0B}"/>
    <cellStyle name="Salida 4 5 3" xfId="8992" xr:uid="{3E216FCB-EEA3-46C4-8263-D7B6665A65A8}"/>
    <cellStyle name="Salida 4 6" xfId="2654" xr:uid="{11EC68A9-2460-430C-B435-4E6708A6E463}"/>
    <cellStyle name="Salida 4 6 2" xfId="6030" xr:uid="{71B6DF2E-A70D-4560-9B18-A301BE58EF89}"/>
    <cellStyle name="Salida 4 6 3" xfId="9222" xr:uid="{1D67EB9E-2377-4ECE-84D7-8AC7B473B791}"/>
    <cellStyle name="Salida 4 7" xfId="2893" xr:uid="{11C8352A-1E02-4229-B988-52A707B7A996}"/>
    <cellStyle name="Salida 4 7 2" xfId="6263" xr:uid="{2F071CC8-ECF0-4CC4-A969-E2B2C5DB8190}"/>
    <cellStyle name="Salida 4 7 3" xfId="9452" xr:uid="{721BE9BD-301B-4F4B-B368-EDC2A7EB07A6}"/>
    <cellStyle name="Salida 4 8" xfId="3098" xr:uid="{4017829F-BE25-4411-824F-4D25337D94A6}"/>
    <cellStyle name="Salida 4 8 2" xfId="6496" xr:uid="{CD74772B-A4F2-41A3-AA8C-3B2FE17532BF}"/>
    <cellStyle name="Salida 4 8 3" xfId="9682" xr:uid="{519497A3-02D3-47EE-89E0-F7D6B16B0DF8}"/>
    <cellStyle name="Salida 4 9" xfId="3340" xr:uid="{3E0CDFD9-6ECB-40EF-8CCF-E7EDC2A3B23C}"/>
    <cellStyle name="Salida 4 9 2" xfId="6759" xr:uid="{658A9B06-5E2F-4643-917C-2642044A2FB2}"/>
    <cellStyle name="Salida 4 9 3" xfId="9924" xr:uid="{7B7FFFC2-8E5B-419D-B189-762C3173FEDC}"/>
    <cellStyle name="Salida 5" xfId="1158" xr:uid="{00000000-0005-0000-0000-00001A080000}"/>
    <cellStyle name="Salida 5 10" xfId="7022" xr:uid="{4BB5DEE5-957C-4133-9E2F-E64320DB779A}"/>
    <cellStyle name="Salida 5 10 2" xfId="10167" xr:uid="{72497D78-BDDA-4124-B622-7365C2E3E39D}"/>
    <cellStyle name="Salida 5 11" xfId="7271" xr:uid="{6FBE0728-B8C6-4628-847D-D9ED8C9D45E0}"/>
    <cellStyle name="Salida 5 11 2" xfId="10410" xr:uid="{08E3D6CD-E7BE-468F-976A-C9A61084E7CB}"/>
    <cellStyle name="Salida 5 12" xfId="7625" xr:uid="{FB746BEB-1F16-499B-ABC1-16FA4C64FA97}"/>
    <cellStyle name="Salida 5 12 2" xfId="10759" xr:uid="{039C7D78-E4AC-4DC2-90AF-26691196A9F7}"/>
    <cellStyle name="Salida 5 13" xfId="7763" xr:uid="{1395710A-1B80-4565-9061-B8F36C567C5E}"/>
    <cellStyle name="Salida 5 13 2" xfId="10896" xr:uid="{B184A1D3-BB4D-40BB-A003-2ABE7F58648A}"/>
    <cellStyle name="Salida 5 14" xfId="4647" xr:uid="{47F1AAFC-08BF-4E92-BB3D-65E715717DF9}"/>
    <cellStyle name="Salida 5 15" xfId="7867" xr:uid="{6F9536A4-D52A-4D20-96D1-0A6A2FFFDEAE}"/>
    <cellStyle name="Salida 5 16" xfId="11149" xr:uid="{5E584D5A-4D54-450C-A9CF-C6AD6A4CB484}"/>
    <cellStyle name="Salida 5 17" xfId="11565" xr:uid="{1CBD30F1-05A7-40A0-B137-B3397750C617}"/>
    <cellStyle name="Salida 5 18" xfId="11714" xr:uid="{A874AB43-8A92-4816-A910-682DA0BBFFF6}"/>
    <cellStyle name="Salida 5 19" xfId="12260" xr:uid="{859A7BC6-E80A-4D14-99DE-DE8BC1F15D93}"/>
    <cellStyle name="Salida 5 2" xfId="1666" xr:uid="{00000000-0005-0000-0000-00001B080000}"/>
    <cellStyle name="Salida 5 2 2" xfId="3767" xr:uid="{AFC05CAA-0584-4794-A135-C1096716E154}"/>
    <cellStyle name="Salida 5 2 3" xfId="5075" xr:uid="{E82FF32C-AD2A-41AF-A3A4-B34914818F1E}"/>
    <cellStyle name="Salida 5 2 4" xfId="8282" xr:uid="{67E95F93-027A-4127-B0B6-676188573089}"/>
    <cellStyle name="Salida 5 20" xfId="12702" xr:uid="{DFCA5764-FE75-45BC-9A45-4D7B6E7CA1C0}"/>
    <cellStyle name="Salida 5 21" xfId="12867" xr:uid="{39ACB5BA-ACA7-49B9-BB1C-ADB923A27FFF}"/>
    <cellStyle name="Salida 5 22" xfId="13008" xr:uid="{E47C1A00-F356-4FB0-A7D3-DF1CE9FAE397}"/>
    <cellStyle name="Salida 5 23" xfId="13370" xr:uid="{276FD1E6-230D-40DE-A965-7D76B0059B58}"/>
    <cellStyle name="Salida 5 24" xfId="13499" xr:uid="{42246FFF-2B9B-4C43-B587-307D2CB902FF}"/>
    <cellStyle name="Salida 5 3" xfId="1923" xr:uid="{00000000-0005-0000-0000-00001C080000}"/>
    <cellStyle name="Salida 5 3 2" xfId="4023" xr:uid="{96F850D4-0CAA-413E-9D8C-12F6E2C0A551}"/>
    <cellStyle name="Salida 5 3 3" xfId="5327" xr:uid="{E2CE9A9E-FDF9-4E7E-B51D-DF0B7D52DAB6}"/>
    <cellStyle name="Salida 5 3 4" xfId="8521" xr:uid="{0440B9BA-B274-44AA-9DB5-130C8B84757B}"/>
    <cellStyle name="Salida 5 4" xfId="2177" xr:uid="{00000000-0005-0000-0000-00001D080000}"/>
    <cellStyle name="Salida 5 4 2" xfId="4267" xr:uid="{9F5FCC86-BA43-4C94-9EAC-33751BD6CEA9}"/>
    <cellStyle name="Salida 5 4 3" xfId="5565" xr:uid="{6D1D7C04-B3F9-4FE9-A78D-B721D72651AE}"/>
    <cellStyle name="Salida 5 4 4" xfId="8757" xr:uid="{698A1884-3739-497C-A028-D60C4E2F2030}"/>
    <cellStyle name="Salida 5 5" xfId="2419" xr:uid="{B0EF34ED-B450-4DAD-834E-2FD8BB881CDA}"/>
    <cellStyle name="Salida 5 5 2" xfId="5801" xr:uid="{41A9A50B-2C6B-406C-9FE2-4AD26A998EB1}"/>
    <cellStyle name="Salida 5 5 3" xfId="8993" xr:uid="{1A65C7D3-7743-4B91-86A7-A26313770786}"/>
    <cellStyle name="Salida 5 6" xfId="2655" xr:uid="{CC94D0ED-0137-4D91-A436-F1A9BC9A2935}"/>
    <cellStyle name="Salida 5 6 2" xfId="6031" xr:uid="{790AB622-4EE0-4FEC-9539-798FE292B7AE}"/>
    <cellStyle name="Salida 5 6 3" xfId="9223" xr:uid="{FF7B6597-CB74-44B4-B1D2-5E48FF2777A6}"/>
    <cellStyle name="Salida 5 7" xfId="2894" xr:uid="{88B4889B-2684-4EAF-9382-D5BCCF523CB2}"/>
    <cellStyle name="Salida 5 7 2" xfId="6264" xr:uid="{FFDA61CC-6480-4880-A9B8-C49C30661D66}"/>
    <cellStyle name="Salida 5 7 3" xfId="9453" xr:uid="{716B9CC4-93A0-4174-A726-E16A36F59216}"/>
    <cellStyle name="Salida 5 8" xfId="3099" xr:uid="{A383F801-4C1E-4E67-B3AC-2DF83F9C6058}"/>
    <cellStyle name="Salida 5 8 2" xfId="6497" xr:uid="{40A54CFB-09EE-4B4D-97D5-DD9726A41300}"/>
    <cellStyle name="Salida 5 8 3" xfId="9683" xr:uid="{784F9B2D-8CD8-4381-AF23-8658C3820833}"/>
    <cellStyle name="Salida 5 9" xfId="3341" xr:uid="{E88454F4-0F9C-4D7D-BF5C-47560C488E7D}"/>
    <cellStyle name="Salida 5 9 2" xfId="6760" xr:uid="{81128061-C40C-4151-BAEE-A858046248B5}"/>
    <cellStyle name="Salida 5 9 3" xfId="9925" xr:uid="{ACA3E6A3-51B1-493F-A7EC-69820100F80C}"/>
    <cellStyle name="Separador de milhares [0]_Costo Operación T177 Fase II" xfId="1159" xr:uid="{00000000-0005-0000-0000-00001E080000}"/>
    <cellStyle name="Separador de milhares_Costo Operación T177 Fase II" xfId="1160" xr:uid="{00000000-0005-0000-0000-00001F080000}"/>
    <cellStyle name="SKM" xfId="1161" xr:uid="{00000000-0005-0000-0000-000020080000}"/>
    <cellStyle name="SKM 10" xfId="1162" xr:uid="{00000000-0005-0000-0000-000021080000}"/>
    <cellStyle name="SKM 11" xfId="1163" xr:uid="{00000000-0005-0000-0000-000022080000}"/>
    <cellStyle name="SKM 12" xfId="1164" xr:uid="{00000000-0005-0000-0000-000023080000}"/>
    <cellStyle name="SKM 13" xfId="1165" xr:uid="{00000000-0005-0000-0000-000024080000}"/>
    <cellStyle name="SKM 14" xfId="1166" xr:uid="{00000000-0005-0000-0000-000025080000}"/>
    <cellStyle name="SKM 15" xfId="1167" xr:uid="{00000000-0005-0000-0000-000026080000}"/>
    <cellStyle name="SKM 2" xfId="1168" xr:uid="{00000000-0005-0000-0000-000027080000}"/>
    <cellStyle name="SKM 3" xfId="1169" xr:uid="{00000000-0005-0000-0000-000028080000}"/>
    <cellStyle name="SKM 4" xfId="1170" xr:uid="{00000000-0005-0000-0000-000029080000}"/>
    <cellStyle name="SKM 5" xfId="1171" xr:uid="{00000000-0005-0000-0000-00002A080000}"/>
    <cellStyle name="SKM 6" xfId="1172" xr:uid="{00000000-0005-0000-0000-00002B080000}"/>
    <cellStyle name="SKM 7" xfId="1173" xr:uid="{00000000-0005-0000-0000-00002C080000}"/>
    <cellStyle name="SKM 8" xfId="1174" xr:uid="{00000000-0005-0000-0000-00002D080000}"/>
    <cellStyle name="SKM 9" xfId="1175" xr:uid="{00000000-0005-0000-0000-00002E080000}"/>
    <cellStyle name="SKM_SERVICIO 1 y 2 REFUGIO Propuesta" xfId="1176" xr:uid="{00000000-0005-0000-0000-00002F080000}"/>
    <cellStyle name="Style 1" xfId="1177" xr:uid="{00000000-0005-0000-0000-000030080000}"/>
    <cellStyle name="Style 1 2" xfId="1178" xr:uid="{00000000-0005-0000-0000-000031080000}"/>
    <cellStyle name="Style 1 3" xfId="1179" xr:uid="{00000000-0005-0000-0000-000032080000}"/>
    <cellStyle name="Style 1 4" xfId="1180" xr:uid="{00000000-0005-0000-0000-000033080000}"/>
    <cellStyle name="Style 1 5" xfId="1181" xr:uid="{00000000-0005-0000-0000-000034080000}"/>
    <cellStyle name="Style 1 6" xfId="1182" xr:uid="{00000000-0005-0000-0000-000035080000}"/>
    <cellStyle name="Style 1 7" xfId="1183" xr:uid="{00000000-0005-0000-0000-000036080000}"/>
    <cellStyle name="Style 1 7 2" xfId="1184" xr:uid="{00000000-0005-0000-0000-000037080000}"/>
    <cellStyle name="Style 2" xfId="1185" xr:uid="{00000000-0005-0000-0000-000038080000}"/>
    <cellStyle name="subtotal" xfId="1186" xr:uid="{00000000-0005-0000-0000-000039080000}"/>
    <cellStyle name="subtotal 10" xfId="4648" xr:uid="{1FB0F540-EDB6-45D4-B24F-2E0F8276B947}"/>
    <cellStyle name="subtotal 11" xfId="7868" xr:uid="{3BDE0B5F-5714-4696-B794-D3E8C7C1F9D9}"/>
    <cellStyle name="subtotal 12" xfId="11566" xr:uid="{6F1850F6-158B-4B5F-8046-3B18B244CB21}"/>
    <cellStyle name="subtotal 13" xfId="11715" xr:uid="{E467DB4D-7844-42CB-B16D-4602E424706E}"/>
    <cellStyle name="subtotal 14" xfId="11800" xr:uid="{4E69C2EF-CC6E-40A7-A4E0-99E81020BD29}"/>
    <cellStyle name="subtotal 15" xfId="12005" xr:uid="{F17755BB-5B7C-4B30-B52F-FF32B19F2778}"/>
    <cellStyle name="subtotal 16" xfId="12261" xr:uid="{CA3991BE-5586-4007-9B62-EE9ADAB7864E}"/>
    <cellStyle name="subtotal 17" xfId="12724" xr:uid="{C605A25C-7BD2-4774-ADBE-11108FFAD996}"/>
    <cellStyle name="subtotal 18" xfId="13009" xr:uid="{5631408A-605F-4190-98D9-4F2FB5954910}"/>
    <cellStyle name="subtotal 19" xfId="13019" xr:uid="{27F26606-C365-49E6-B0B1-18AAD4C0A003}"/>
    <cellStyle name="subtotal 2" xfId="1187" xr:uid="{00000000-0005-0000-0000-00003A080000}"/>
    <cellStyle name="subtotal 2 10" xfId="7869" xr:uid="{3058E27E-421D-47A4-AA9D-D0720E25D8E5}"/>
    <cellStyle name="subtotal 2 11" xfId="11567" xr:uid="{ECD202BB-885D-4BB5-880C-DC41097DA6E4}"/>
    <cellStyle name="subtotal 2 12" xfId="11716" xr:uid="{76E1D7B5-AF0B-4CED-8864-8C7B476C765F}"/>
    <cellStyle name="subtotal 2 13" xfId="11801" xr:uid="{3FC59996-24BB-4CAC-AD81-6A8ABFC96BEF}"/>
    <cellStyle name="subtotal 2 14" xfId="12006" xr:uid="{B0CF58B1-6D27-4583-9ED1-E5211C7A1AB2}"/>
    <cellStyle name="subtotal 2 15" xfId="12262" xr:uid="{E704175C-3BF6-4257-8172-44643F971004}"/>
    <cellStyle name="subtotal 2 16" xfId="12725" xr:uid="{241B1EBB-B19F-44E1-A2C2-9D410C87015D}"/>
    <cellStyle name="subtotal 2 17" xfId="13010" xr:uid="{C07620DE-BA8C-4369-99B3-4B802A43998E}"/>
    <cellStyle name="subtotal 2 18" xfId="13020" xr:uid="{0D876864-2E5F-4ED6-832E-D8F6E5A649CC}"/>
    <cellStyle name="subtotal 2 19" xfId="13501" xr:uid="{3460AADC-5779-4311-926A-234F453A4780}"/>
    <cellStyle name="subtotal 2 2" xfId="1668" xr:uid="{00000000-0005-0000-0000-00003B080000}"/>
    <cellStyle name="subtotal 2 2 2" xfId="3769" xr:uid="{E2E9B626-4EA6-41C3-A79B-73EAC07FBA48}"/>
    <cellStyle name="subtotal 2 2 3" xfId="5077" xr:uid="{CCE0B8E9-5284-4C30-93B2-4812688B5F4C}"/>
    <cellStyle name="subtotal 2 2 4" xfId="8284" xr:uid="{77FAF778-2B1A-4997-B475-0CC09F4B7EDC}"/>
    <cellStyle name="subtotal 2 3" xfId="1925" xr:uid="{00000000-0005-0000-0000-00003C080000}"/>
    <cellStyle name="subtotal 2 3 2" xfId="4025" xr:uid="{93C5C651-AD6C-4C82-8525-F38557DF5455}"/>
    <cellStyle name="subtotal 2 3 3" xfId="5087" xr:uid="{D702E88C-27AC-4C72-A078-98A61DC6CA28}"/>
    <cellStyle name="subtotal 2 4" xfId="2179" xr:uid="{00000000-0005-0000-0000-00003D080000}"/>
    <cellStyle name="subtotal 2 4 2" xfId="4269" xr:uid="{675533A4-CDA4-4A67-A051-EDFDC5BFFFCF}"/>
    <cellStyle name="subtotal 2 4 3" xfId="5329" xr:uid="{5F29B306-3323-4485-90A1-9D529C0274A6}"/>
    <cellStyle name="subtotal 2 5" xfId="2421" xr:uid="{6AE0E027-BC8A-4046-AFB6-EFB01C7094F2}"/>
    <cellStyle name="subtotal 2 5 2" xfId="6499" xr:uid="{85C7449D-570C-4FB1-A4BB-C5B59C059EFB}"/>
    <cellStyle name="subtotal 2 6" xfId="2657" xr:uid="{879DB015-16EF-42F3-BFDC-2A6414960012}"/>
    <cellStyle name="subtotal 2 6 2" xfId="7063" xr:uid="{4C60CBCF-C2C0-483B-8BF9-3CFEF77CD7F6}"/>
    <cellStyle name="subtotal 2 7" xfId="2896" xr:uid="{3FA24FE7-4DF0-4EA7-A63A-7D2502AE7256}"/>
    <cellStyle name="subtotal 2 7 2" xfId="7627" xr:uid="{C44BB0CF-35A6-4907-A1D6-10CCCEF28FB2}"/>
    <cellStyle name="subtotal 2 7 3" xfId="10761" xr:uid="{8F415EA7-A528-469C-A9C5-A2A505644B35}"/>
    <cellStyle name="subtotal 2 8" xfId="3343" xr:uid="{ED68354B-996E-4FE6-9092-0343592060B4}"/>
    <cellStyle name="subtotal 2 8 2" xfId="7765" xr:uid="{F618E53A-DC8D-4FCE-8084-69F6B7EDBBBB}"/>
    <cellStyle name="subtotal 2 9" xfId="4649" xr:uid="{0F8A4431-FC46-4B25-85F8-E881BA4886DC}"/>
    <cellStyle name="subtotal 20" xfId="13500" xr:uid="{D877254F-55BF-4385-A133-0DD562DFA0AE}"/>
    <cellStyle name="subtotal 3" xfId="1667" xr:uid="{00000000-0005-0000-0000-00003E080000}"/>
    <cellStyle name="subtotal 3 2" xfId="3768" xr:uid="{02DA4D6A-6A78-4A3E-B865-54DCF945FFBA}"/>
    <cellStyle name="subtotal 3 3" xfId="5076" xr:uid="{2689604C-234E-4F2D-95D1-D8F3F660AEBE}"/>
    <cellStyle name="subtotal 3 4" xfId="8283" xr:uid="{B938C931-DB25-42FC-ADF6-F962089CD942}"/>
    <cellStyle name="subtotal 4" xfId="1924" xr:uid="{00000000-0005-0000-0000-00003F080000}"/>
    <cellStyle name="subtotal 4 2" xfId="4024" xr:uid="{F67E1F8F-8F9D-4240-96A7-BF06A4DDC90A}"/>
    <cellStyle name="subtotal 4 3" xfId="5086" xr:uid="{C0BAE8C8-40AD-46FE-8690-7B4C88B92130}"/>
    <cellStyle name="subtotal 5" xfId="2178" xr:uid="{00000000-0005-0000-0000-000040080000}"/>
    <cellStyle name="subtotal 5 2" xfId="4268" xr:uid="{4162F05B-7D86-4553-A209-1514963D49D8}"/>
    <cellStyle name="subtotal 5 3" xfId="5328" xr:uid="{28B0779D-D91E-4BF7-AA2F-D883957D96B9}"/>
    <cellStyle name="subtotal 6" xfId="2420" xr:uid="{4D415124-A2E1-4879-BFFB-A771A084156B}"/>
    <cellStyle name="subtotal 6 2" xfId="6498" xr:uid="{32FACF7D-51C8-4567-A1E7-F33DAA70CC57}"/>
    <cellStyle name="subtotal 7" xfId="2656" xr:uid="{5DE4D3F3-0BFF-4716-9564-6033FB6FFBBF}"/>
    <cellStyle name="subtotal 7 2" xfId="7062" xr:uid="{873F975B-7F89-4876-AE43-EF39C716A066}"/>
    <cellStyle name="subtotal 8" xfId="2895" xr:uid="{5EC32351-CE5E-4713-979E-27C72BFF25EC}"/>
    <cellStyle name="subtotal 8 2" xfId="7626" xr:uid="{B3DCCBC2-6B5E-45F6-85E1-C9EDD318DBA7}"/>
    <cellStyle name="subtotal 8 3" xfId="10760" xr:uid="{D95FB037-B50B-4D01-BF4C-81FFA30926D5}"/>
    <cellStyle name="subtotal 9" xfId="3342" xr:uid="{2B646229-C365-4467-986E-7EE8D00CCCE3}"/>
    <cellStyle name="subtotal 9 2" xfId="7764" xr:uid="{24A9D14D-4492-472C-890B-B9A731DA2CBA}"/>
    <cellStyle name="t]_x000d__x000a_color schemes=Predeterminado de Windows_x000d__x000a__x000d__x000a_[color schemes]_x000d__x000a_Arlequín=9544BB,C1FBFA,FFFFFF,0,FFFFFF,0,FFFF8" xfId="1188" xr:uid="{00000000-0005-0000-0000-000041080000}"/>
    <cellStyle name="Table Top" xfId="1189" xr:uid="{00000000-0005-0000-0000-000042080000}"/>
    <cellStyle name="Text Indent A" xfId="1190" xr:uid="{00000000-0005-0000-0000-000043080000}"/>
    <cellStyle name="Text Indent B" xfId="1191" xr:uid="{00000000-0005-0000-0000-000044080000}"/>
    <cellStyle name="Text Indent B 2" xfId="1192" xr:uid="{00000000-0005-0000-0000-000045080000}"/>
    <cellStyle name="Text Indent C" xfId="1193" xr:uid="{00000000-0005-0000-0000-000046080000}"/>
    <cellStyle name="Text Indent C 2" xfId="1194" xr:uid="{00000000-0005-0000-0000-000047080000}"/>
    <cellStyle name="Texto de advertencia 2" xfId="1195" xr:uid="{00000000-0005-0000-0000-000048080000}"/>
    <cellStyle name="Texto de advertencia 3" xfId="1196" xr:uid="{00000000-0005-0000-0000-000049080000}"/>
    <cellStyle name="Texto de advertencia 4" xfId="1197" xr:uid="{00000000-0005-0000-0000-00004A080000}"/>
    <cellStyle name="Texto de advertencia 5" xfId="1198" xr:uid="{00000000-0005-0000-0000-00004B080000}"/>
    <cellStyle name="Texto explicativo 2" xfId="1199" xr:uid="{00000000-0005-0000-0000-00004C080000}"/>
    <cellStyle name="Texto explicativo 3" xfId="1200" xr:uid="{00000000-0005-0000-0000-00004D080000}"/>
    <cellStyle name="Texto explicativo 4" xfId="1201" xr:uid="{00000000-0005-0000-0000-00004E080000}"/>
    <cellStyle name="Texto explicativo 5" xfId="1202" xr:uid="{00000000-0005-0000-0000-00004F080000}"/>
    <cellStyle name="þ_x001d_ð&quot;_x000c_Býò_x000c_5ýU_x0001_©_x0006__x0008__x0008__x0007__x0001__x0001_" xfId="1203" xr:uid="{00000000-0005-0000-0000-000050080000}"/>
    <cellStyle name="Title" xfId="1204" xr:uid="{00000000-0005-0000-0000-000051080000}"/>
    <cellStyle name="Título 1 2" xfId="1205" xr:uid="{00000000-0005-0000-0000-000052080000}"/>
    <cellStyle name="Título 1 3" xfId="1206" xr:uid="{00000000-0005-0000-0000-000053080000}"/>
    <cellStyle name="Título 1 4" xfId="1207" xr:uid="{00000000-0005-0000-0000-000054080000}"/>
    <cellStyle name="Título 1 5" xfId="1208" xr:uid="{00000000-0005-0000-0000-000055080000}"/>
    <cellStyle name="Título 2 2" xfId="1209" xr:uid="{00000000-0005-0000-0000-000056080000}"/>
    <cellStyle name="Título 2 3" xfId="1210" xr:uid="{00000000-0005-0000-0000-000057080000}"/>
    <cellStyle name="Título 2 4" xfId="1211" xr:uid="{00000000-0005-0000-0000-000058080000}"/>
    <cellStyle name="Título 2 5" xfId="1212" xr:uid="{00000000-0005-0000-0000-000059080000}"/>
    <cellStyle name="Título 3 2" xfId="1213" xr:uid="{00000000-0005-0000-0000-00005A080000}"/>
    <cellStyle name="Título 3 3" xfId="1214" xr:uid="{00000000-0005-0000-0000-00005B080000}"/>
    <cellStyle name="Título 3 4" xfId="1215" xr:uid="{00000000-0005-0000-0000-00005C080000}"/>
    <cellStyle name="Título 3 5" xfId="1216" xr:uid="{00000000-0005-0000-0000-00005D080000}"/>
    <cellStyle name="Título 4" xfId="1217" xr:uid="{00000000-0005-0000-0000-00005E080000}"/>
    <cellStyle name="Título 5" xfId="1218" xr:uid="{00000000-0005-0000-0000-00005F080000}"/>
    <cellStyle name="Título 6" xfId="1219" xr:uid="{00000000-0005-0000-0000-000060080000}"/>
    <cellStyle name="Título 7" xfId="1220" xr:uid="{00000000-0005-0000-0000-000061080000}"/>
    <cellStyle name="Título de hoja" xfId="1221" xr:uid="{00000000-0005-0000-0000-000062080000}"/>
    <cellStyle name="Top Column Head" xfId="1222" xr:uid="{00000000-0005-0000-0000-000063080000}"/>
    <cellStyle name="Top Column Head 2" xfId="1223" xr:uid="{00000000-0005-0000-0000-000064080000}"/>
    <cellStyle name="Top Column Head 3" xfId="1224" xr:uid="{00000000-0005-0000-0000-000065080000}"/>
    <cellStyle name="Top Column Head 4" xfId="1225" xr:uid="{00000000-0005-0000-0000-000066080000}"/>
    <cellStyle name="Top Column Head 5" xfId="1226" xr:uid="{00000000-0005-0000-0000-000067080000}"/>
    <cellStyle name="Top Column Head 6" xfId="1227" xr:uid="{00000000-0005-0000-0000-000068080000}"/>
    <cellStyle name="Total 2" xfId="1228" xr:uid="{00000000-0005-0000-0000-000069080000}"/>
    <cellStyle name="Total 2 10" xfId="7628" xr:uid="{AD15208B-5F43-4349-BE08-3D95F0BC32D2}"/>
    <cellStyle name="Total 2 10 2" xfId="10762" xr:uid="{595A9170-BE4E-499E-8298-76F2DEC162EA}"/>
    <cellStyle name="Total 2 11" xfId="7766" xr:uid="{ECAE84E2-8834-455C-AA34-A8603C93133C}"/>
    <cellStyle name="Total 2 11 2" xfId="10897" xr:uid="{CB8ACAE2-FA11-4F7B-AE9E-B34D18CECDDC}"/>
    <cellStyle name="Total 2 12" xfId="4650" xr:uid="{D1D83E48-E9F7-480F-8FFA-6262BCD494FD}"/>
    <cellStyle name="Total 2 13" xfId="10906" xr:uid="{9562BDC9-0D78-41FE-B6F3-3B0464803CBB}"/>
    <cellStyle name="Total 2 14" xfId="11150" xr:uid="{2197FE91-AB94-4E57-BA9E-CA27FD83DB44}"/>
    <cellStyle name="Total 2 15" xfId="11568" xr:uid="{7AA6D21E-2283-42DD-B7DD-4DB51E12C629}"/>
    <cellStyle name="Total 2 16" xfId="11717" xr:uid="{583E90AB-A61A-4C24-A09B-C8D63783D597}"/>
    <cellStyle name="Total 2 17" xfId="11802" xr:uid="{05827690-D454-443F-B670-8850EA59F0B8}"/>
    <cellStyle name="Total 2 18" xfId="12263" xr:uid="{E8A6F505-643D-41CB-9F0A-BF99393015EC}"/>
    <cellStyle name="Total 2 19" xfId="13011" xr:uid="{E62BD41F-E31F-4977-BD91-39D4D0D64F0E}"/>
    <cellStyle name="Total 2 2" xfId="1414" xr:uid="{00000000-0005-0000-0000-00006A080000}"/>
    <cellStyle name="Total 2 2 2" xfId="3525" xr:uid="{88E00100-858E-4EE1-9927-B7B9129F316F}"/>
    <cellStyle name="Total 2 2 3" xfId="4831" xr:uid="{A9696F3B-7798-4CC0-93C0-C6DCD19CB2BB}"/>
    <cellStyle name="Total 2 2 4" xfId="8041" xr:uid="{74AC53E2-DAB8-4A1B-869A-7034F2B9D171}"/>
    <cellStyle name="Total 2 20" xfId="13021" xr:uid="{3DF6A51F-0504-4AF6-9C42-3AE1FAFFC4EB}"/>
    <cellStyle name="Total 2 3" xfId="1926" xr:uid="{00000000-0005-0000-0000-00006B080000}"/>
    <cellStyle name="Total 2 3 2" xfId="4026" xr:uid="{858B1E61-5EB8-4EF8-9897-1EBC75373D9B}"/>
    <cellStyle name="Total 2 3 3" xfId="5088" xr:uid="{492CF427-76EF-4CED-A041-2991F1725ABB}"/>
    <cellStyle name="Total 2 3 4" xfId="8288" xr:uid="{ED9B8B78-B8CC-4486-8B04-45262C97D9F6}"/>
    <cellStyle name="Total 2 4" xfId="2180" xr:uid="{00000000-0005-0000-0000-00006C080000}"/>
    <cellStyle name="Total 2 4 2" xfId="4270" xr:uid="{AF9A28A3-67FF-41EE-9B75-E0D10ABD7235}"/>
    <cellStyle name="Total 2 4 3" xfId="5330" xr:uid="{2178FD49-D008-4D6F-933E-C5CA3F88DEBC}"/>
    <cellStyle name="Total 2 4 4" xfId="8522" xr:uid="{4B401E9C-1204-431B-927B-E120D608FE61}"/>
    <cellStyle name="Total 2 5" xfId="2658" xr:uid="{6F7E360D-CA8B-485A-A174-B3D2518F8F61}"/>
    <cellStyle name="Total 2 5 2" xfId="5566" xr:uid="{0EB634E4-91F5-4070-A609-9E6DB9A9C359}"/>
    <cellStyle name="Total 2 5 3" xfId="8758" xr:uid="{02115676-A49F-4065-ACAB-852F047309C1}"/>
    <cellStyle name="Total 2 6" xfId="3100" xr:uid="{02ACB165-BD74-4E03-A449-AA9423BD9315}"/>
    <cellStyle name="Total 2 6 2" xfId="6500" xr:uid="{C3FADEF1-4534-42A9-A528-59851980B113}"/>
    <cellStyle name="Total 2 6 3" xfId="9684" xr:uid="{9C99A661-747B-4397-8B77-8602A4E09211}"/>
    <cellStyle name="Total 2 7" xfId="3344" xr:uid="{CC4DEB8C-15BB-4D83-A253-65098C13D15A}"/>
    <cellStyle name="Total 2 7 2" xfId="6761" xr:uid="{BCDE1EA1-23CD-4A26-A8AA-FDCE67671F27}"/>
    <cellStyle name="Total 2 7 3" xfId="9926" xr:uid="{C8B55E2B-4D9B-4831-B9C3-2487C28FA62A}"/>
    <cellStyle name="Total 2 8" xfId="7023" xr:uid="{08CAE56A-225A-4709-A7EE-23BA0F16DDCC}"/>
    <cellStyle name="Total 2 8 2" xfId="10168" xr:uid="{A1360800-7420-4443-8FEF-0F2E0C78502B}"/>
    <cellStyle name="Total 2 9" xfId="7272" xr:uid="{048A646A-D462-4739-9454-BC6F894CBA6D}"/>
    <cellStyle name="Total 2 9 2" xfId="10411" xr:uid="{EC52D292-8C19-4200-8F84-785B52F964F2}"/>
    <cellStyle name="Total 3" xfId="1229" xr:uid="{00000000-0005-0000-0000-00006D080000}"/>
    <cellStyle name="Total 3 10" xfId="7629" xr:uid="{B0B7D6FB-553F-45A2-A0C7-38D547A1AFA2}"/>
    <cellStyle name="Total 3 10 2" xfId="10763" xr:uid="{8C944E23-FF20-44CA-9209-9DF0B7D31BAD}"/>
    <cellStyle name="Total 3 11" xfId="7767" xr:uid="{AB8B59D7-717C-46E4-9E84-2B47BA386FE6}"/>
    <cellStyle name="Total 3 11 2" xfId="10898" xr:uid="{6323E61B-7E0B-42D6-B251-0731635D4FFE}"/>
    <cellStyle name="Total 3 12" xfId="4651" xr:uid="{D11ABEC8-97F2-48AD-9788-9C07985C6743}"/>
    <cellStyle name="Total 3 13" xfId="10907" xr:uid="{6E8EEA55-341F-4A0A-A835-3D7481EDC9F4}"/>
    <cellStyle name="Total 3 14" xfId="11151" xr:uid="{A901A6CC-7946-454F-8BC0-047D54C261E1}"/>
    <cellStyle name="Total 3 15" xfId="11569" xr:uid="{5CC2C464-8DBD-4B4C-A957-52CCA7191594}"/>
    <cellStyle name="Total 3 16" xfId="11718" xr:uid="{600943A7-A15A-4576-8009-54F58C9AF1BF}"/>
    <cellStyle name="Total 3 17" xfId="11803" xr:uid="{D28878A4-7619-47CB-9FEB-59804D7115FC}"/>
    <cellStyle name="Total 3 18" xfId="12264" xr:uid="{9EB499B1-3CA1-4BD2-AE70-95D94D8F9690}"/>
    <cellStyle name="Total 3 19" xfId="13012" xr:uid="{CA752AF3-2B16-48C4-AD50-AAD22F64EB2A}"/>
    <cellStyle name="Total 3 2" xfId="1415" xr:uid="{00000000-0005-0000-0000-00006E080000}"/>
    <cellStyle name="Total 3 2 2" xfId="3526" xr:uid="{4D633DEB-C47D-4EC1-B262-E3688D7E0BF6}"/>
    <cellStyle name="Total 3 2 3" xfId="4832" xr:uid="{E5E1442A-57C4-4F9B-8FEE-0998477E774B}"/>
    <cellStyle name="Total 3 2 4" xfId="8042" xr:uid="{FC7BA4E8-33DB-46CA-8245-D1FC98B1B811}"/>
    <cellStyle name="Total 3 20" xfId="13022" xr:uid="{1A4E4205-16D0-4764-A352-3511809A3646}"/>
    <cellStyle name="Total 3 3" xfId="1927" xr:uid="{00000000-0005-0000-0000-00006F080000}"/>
    <cellStyle name="Total 3 3 2" xfId="4027" xr:uid="{C8C958BF-0CCF-4F68-B83C-ED9436582C8A}"/>
    <cellStyle name="Total 3 3 3" xfId="5089" xr:uid="{8DBC23FE-62B1-438E-A118-FBAE57283A58}"/>
    <cellStyle name="Total 3 3 4" xfId="8289" xr:uid="{4DC14EFD-03EB-45EE-BAE1-76BD5EC11DCF}"/>
    <cellStyle name="Total 3 4" xfId="2181" xr:uid="{00000000-0005-0000-0000-000070080000}"/>
    <cellStyle name="Total 3 4 2" xfId="4271" xr:uid="{BB77A6AE-F81F-43CE-9760-1335E399312E}"/>
    <cellStyle name="Total 3 4 3" xfId="5331" xr:uid="{81CF0066-46DB-4188-BC1E-97404703471F}"/>
    <cellStyle name="Total 3 4 4" xfId="8523" xr:uid="{40E99FD0-8CA3-4F5F-9820-CCF6C2A2A7E5}"/>
    <cellStyle name="Total 3 5" xfId="2659" xr:uid="{FD96B659-FD4C-4080-B663-DEDDF3A4395E}"/>
    <cellStyle name="Total 3 5 2" xfId="5567" xr:uid="{F15C96D5-35AC-4256-80C9-7F1E80C5E62F}"/>
    <cellStyle name="Total 3 5 3" xfId="8759" xr:uid="{2AD83DF8-D18F-4A3B-A54A-8A938E114A32}"/>
    <cellStyle name="Total 3 6" xfId="3101" xr:uid="{D91D2852-B31B-47C1-9AE2-651A8870F3D7}"/>
    <cellStyle name="Total 3 6 2" xfId="6501" xr:uid="{6BCB1F69-38C7-4455-9CFD-BFEAFCD8F9DF}"/>
    <cellStyle name="Total 3 6 3" xfId="9685" xr:uid="{0A476F25-5140-4DCD-B35E-73124259D37D}"/>
    <cellStyle name="Total 3 7" xfId="3345" xr:uid="{B9E4C7EF-B5A5-4190-B16C-1C36C5CCBB1D}"/>
    <cellStyle name="Total 3 7 2" xfId="6762" xr:uid="{CA1A11A4-EB20-498D-BDFF-56F948E2F6ED}"/>
    <cellStyle name="Total 3 7 3" xfId="9927" xr:uid="{0242ABB3-9712-4B0A-8A00-DB2BB40E5280}"/>
    <cellStyle name="Total 3 8" xfId="7024" xr:uid="{E9E19F6C-50D6-4C04-A25E-44DBB3431B97}"/>
    <cellStyle name="Total 3 8 2" xfId="10169" xr:uid="{1F0B6E0A-360E-40EA-804A-5BE76C1A7479}"/>
    <cellStyle name="Total 3 9" xfId="7273" xr:uid="{85AA18A4-B563-423E-AA11-87B881E881D8}"/>
    <cellStyle name="Total 3 9 2" xfId="10412" xr:uid="{436BF8CF-8C7C-4BE5-9CA9-B6764B00A9F1}"/>
    <cellStyle name="Total 4" xfId="1230" xr:uid="{00000000-0005-0000-0000-000071080000}"/>
    <cellStyle name="Total 4 10" xfId="3346" xr:uid="{E6129B40-1907-4363-80E9-5B2F5D4E46CC}"/>
    <cellStyle name="Total 4 10 2" xfId="6763" xr:uid="{46846588-836C-4D9B-9ACC-D7750D97143F}"/>
    <cellStyle name="Total 4 10 3" xfId="9928" xr:uid="{E7C5E439-9EC3-461B-9129-67D20218BDC9}"/>
    <cellStyle name="Total 4 11" xfId="7025" xr:uid="{D545B762-1A04-46CC-BFA7-617212BC2D3D}"/>
    <cellStyle name="Total 4 11 2" xfId="10170" xr:uid="{EDF69B85-76E7-417C-9BD3-579EF6FF5405}"/>
    <cellStyle name="Total 4 12" xfId="7274" xr:uid="{A33F4B3C-CBED-446A-8744-B23A79E9BEC4}"/>
    <cellStyle name="Total 4 12 2" xfId="10413" xr:uid="{AD640E25-E107-45DA-BCAF-F4E7AE8BCB57}"/>
    <cellStyle name="Total 4 13" xfId="7630" xr:uid="{4288CDE4-C4F0-41F8-A0DD-B81F1B4A33F1}"/>
    <cellStyle name="Total 4 13 2" xfId="10764" xr:uid="{97BE00CB-2B49-49DB-8525-B4EE110C37D5}"/>
    <cellStyle name="Total 4 14" xfId="7768" xr:uid="{EAFE6455-39F9-4ECD-8850-E8F0C4DB625C}"/>
    <cellStyle name="Total 4 14 2" xfId="10899" xr:uid="{BC54933A-A241-432D-9779-FCA2349BB2AD}"/>
    <cellStyle name="Total 4 15" xfId="4652" xr:uid="{0B875572-C26C-4430-B87A-7C8E1D94D8C1}"/>
    <cellStyle name="Total 4 16" xfId="7870" xr:uid="{B88965EC-AB96-4610-B094-04A893694311}"/>
    <cellStyle name="Total 4 17" xfId="11152" xr:uid="{C3B7D4D3-4038-49B3-93FF-937BC055F505}"/>
    <cellStyle name="Total 4 18" xfId="11570" xr:uid="{2C2A9F4C-4EF6-43A7-BC63-5786BE30639A}"/>
    <cellStyle name="Total 4 19" xfId="11719" xr:uid="{95A32178-28AB-41B3-B09D-18DADDB73DE1}"/>
    <cellStyle name="Total 4 2" xfId="1416" xr:uid="{00000000-0005-0000-0000-000072080000}"/>
    <cellStyle name="Total 4 2 2" xfId="3527" xr:uid="{C30B8CBF-05B8-417B-B232-74D0829FBC8A}"/>
    <cellStyle name="Total 4 2 3" xfId="4833" xr:uid="{B3243F9F-059C-4001-87C5-101C7AD9937D}"/>
    <cellStyle name="Total 4 2 4" xfId="8043" xr:uid="{4F8457B5-87D7-49CF-AC6C-537F1332E842}"/>
    <cellStyle name="Total 4 20" xfId="12007" xr:uid="{B8980EC4-4CED-4F73-967E-A4B3169F5737}"/>
    <cellStyle name="Total 4 21" xfId="12265" xr:uid="{CF9930B6-4190-4257-9B45-4982F42D28C5}"/>
    <cellStyle name="Total 4 22" xfId="12727" xr:uid="{4517E018-EA41-4BFC-A9BB-960DC047E1F7}"/>
    <cellStyle name="Total 4 23" xfId="12868" xr:uid="{5CC8B96E-A485-4447-A6FD-270B3CCFAE95}"/>
    <cellStyle name="Total 4 24" xfId="13013" xr:uid="{6658C421-271C-4B93-9C6E-463010101720}"/>
    <cellStyle name="Total 4 25" xfId="13371" xr:uid="{E63AC96E-20A1-4506-B53D-599A0DB05411}"/>
    <cellStyle name="Total 4 26" xfId="13502" xr:uid="{756691C7-6D7F-4C01-9193-30B01D07F4DA}"/>
    <cellStyle name="Total 4 3" xfId="1669" xr:uid="{00000000-0005-0000-0000-000073080000}"/>
    <cellStyle name="Total 4 3 2" xfId="3770" xr:uid="{D06CFBB2-5781-4896-A7E1-47F532EB5893}"/>
    <cellStyle name="Total 4 3 3" xfId="5078" xr:uid="{4A402654-91A6-4812-8882-005B76A56537}"/>
    <cellStyle name="Total 4 3 4" xfId="8285" xr:uid="{7111110B-17A1-44A8-8C56-9E2B5973453C}"/>
    <cellStyle name="Total 4 4" xfId="1928" xr:uid="{00000000-0005-0000-0000-000074080000}"/>
    <cellStyle name="Total 4 4 2" xfId="4028" xr:uid="{B613068F-6998-4F9B-9047-23208A7FC644}"/>
    <cellStyle name="Total 4 4 3" xfId="5332" xr:uid="{B822F428-2249-4630-AFD5-7CD04219900B}"/>
    <cellStyle name="Total 4 4 4" xfId="8524" xr:uid="{C167C489-225C-4592-91CE-4E6BD879C028}"/>
    <cellStyle name="Total 4 5" xfId="2182" xr:uid="{00000000-0005-0000-0000-000075080000}"/>
    <cellStyle name="Total 4 5 2" xfId="4272" xr:uid="{653B3C87-D9E9-4FC8-A214-DCBF4FC4F33F}"/>
    <cellStyle name="Total 4 5 3" xfId="5568" xr:uid="{5909E9E7-CF11-4478-AF96-D502BEFFFA2E}"/>
    <cellStyle name="Total 4 5 4" xfId="8760" xr:uid="{F367F290-A4D8-4AF2-8AEC-ADBB5F549608}"/>
    <cellStyle name="Total 4 6" xfId="2422" xr:uid="{E04667B2-57B6-498A-AA81-2EC340AB6F1C}"/>
    <cellStyle name="Total 4 6 2" xfId="5802" xr:uid="{4589965F-39F5-4CBD-B1C4-B2E85CEB7D8D}"/>
    <cellStyle name="Total 4 6 3" xfId="8994" xr:uid="{2248A30C-DF25-456D-AEE5-54EBD29BBBAB}"/>
    <cellStyle name="Total 4 7" xfId="2660" xr:uid="{21CA0748-FA46-45DC-BFB9-83F55347E576}"/>
    <cellStyle name="Total 4 7 2" xfId="6032" xr:uid="{87F9CC33-8A9E-4CEA-8E9C-4DD7464AFCD2}"/>
    <cellStyle name="Total 4 7 3" xfId="9224" xr:uid="{3AB7F08B-9AEB-4A4F-9139-672F1EB55E22}"/>
    <cellStyle name="Total 4 8" xfId="2897" xr:uid="{1B594167-F311-40FB-AC5D-F62E394D20F9}"/>
    <cellStyle name="Total 4 8 2" xfId="6265" xr:uid="{38BB2FFE-ABBE-4F2D-82DA-A6B04CC84275}"/>
    <cellStyle name="Total 4 8 3" xfId="9454" xr:uid="{90DE2226-A64E-4973-832C-3CBBD715C987}"/>
    <cellStyle name="Total 4 9" xfId="3102" xr:uid="{696BCE2A-015E-44CE-9977-B87EAC5150A4}"/>
    <cellStyle name="Total 4 9 2" xfId="6502" xr:uid="{75FB954B-E8A3-4466-A179-827F8D308310}"/>
    <cellStyle name="Total 4 9 3" xfId="9686" xr:uid="{9639AC60-DCBD-4E21-A79D-839672F8F5B3}"/>
    <cellStyle name="Total 5" xfId="1231" xr:uid="{00000000-0005-0000-0000-000076080000}"/>
    <cellStyle name="Total 5 10" xfId="3347" xr:uid="{394047AC-4A51-489E-94B8-695609A40581}"/>
    <cellStyle name="Total 5 10 2" xfId="6764" xr:uid="{E6C8BFFA-DD7E-459F-AD04-185619AF5403}"/>
    <cellStyle name="Total 5 10 3" xfId="9929" xr:uid="{20E19BED-50A3-4D3E-98DE-DCF0FE0701E0}"/>
    <cellStyle name="Total 5 11" xfId="7026" xr:uid="{ADEB5956-48F6-44EB-A81D-F5859AA95BFC}"/>
    <cellStyle name="Total 5 11 2" xfId="10171" xr:uid="{CE6E4B16-91C5-4C05-B19F-BCFCE4E88DEA}"/>
    <cellStyle name="Total 5 12" xfId="7275" xr:uid="{D389A69E-BFAD-4722-B6EE-CA17B73CD264}"/>
    <cellStyle name="Total 5 12 2" xfId="10414" xr:uid="{9174E846-8B7A-4041-892F-5E392EA3F6C6}"/>
    <cellStyle name="Total 5 13" xfId="7631" xr:uid="{E10C11A0-0BAF-425F-A0EB-7E45005E9E2E}"/>
    <cellStyle name="Total 5 13 2" xfId="10765" xr:uid="{441D9087-3125-4BA1-9A08-00F94223448C}"/>
    <cellStyle name="Total 5 14" xfId="7769" xr:uid="{62E93AC0-E7B0-4AD2-B98C-D719D5BF9195}"/>
    <cellStyle name="Total 5 14 2" xfId="10900" xr:uid="{B3FB07EE-1780-4CEE-8E38-3BB0DD1F23BD}"/>
    <cellStyle name="Total 5 15" xfId="4653" xr:uid="{2326599F-5A9A-4CDC-8B3D-EF216A294EC4}"/>
    <cellStyle name="Total 5 16" xfId="7871" xr:uid="{B3C149AA-3D5C-4EC3-875B-EBAE1150AB3F}"/>
    <cellStyle name="Total 5 17" xfId="11153" xr:uid="{6CEFDE42-FD07-479E-A2ED-9784C647839E}"/>
    <cellStyle name="Total 5 18" xfId="11571" xr:uid="{659E5857-F136-46C7-BB5F-E0B51A98C02B}"/>
    <cellStyle name="Total 5 19" xfId="11720" xr:uid="{D4E5CDE5-71B2-4500-A7CF-25DE9ADFB8B9}"/>
    <cellStyle name="Total 5 2" xfId="1417" xr:uid="{00000000-0005-0000-0000-000077080000}"/>
    <cellStyle name="Total 5 2 2" xfId="3528" xr:uid="{71A704AF-5E4B-4491-A1BF-92DF7AAEB4DC}"/>
    <cellStyle name="Total 5 2 3" xfId="4834" xr:uid="{DF61EB63-0371-43BE-A51F-ECB06D546EF5}"/>
    <cellStyle name="Total 5 2 4" xfId="8044" xr:uid="{8A7E3A9C-5598-413F-B642-299CA7CC242B}"/>
    <cellStyle name="Total 5 20" xfId="12008" xr:uid="{16D4CE76-FA70-4E64-97CD-31CF4D999CC5}"/>
    <cellStyle name="Total 5 21" xfId="12266" xr:uid="{046546A0-F470-4A00-B2DB-50DDE802EDE9}"/>
    <cellStyle name="Total 5 22" xfId="12728" xr:uid="{BCE12C24-0883-4EFD-B1B3-D43B3CAB8F5C}"/>
    <cellStyle name="Total 5 23" xfId="12869" xr:uid="{D66465A1-3D03-49BB-8BD5-31C9D384A3C8}"/>
    <cellStyle name="Total 5 24" xfId="13014" xr:uid="{1EE88D63-6172-4F1F-999A-C7A544660695}"/>
    <cellStyle name="Total 5 25" xfId="13372" xr:uid="{28733148-7B6A-4C58-BC12-DA1342A7FE19}"/>
    <cellStyle name="Total 5 26" xfId="13503" xr:uid="{7DC51FB0-83CA-4890-AA8E-D099197ADC39}"/>
    <cellStyle name="Total 5 3" xfId="1670" xr:uid="{00000000-0005-0000-0000-000078080000}"/>
    <cellStyle name="Total 5 3 2" xfId="3771" xr:uid="{887332CB-2FAB-4A08-BBE7-745D9224959C}"/>
    <cellStyle name="Total 5 3 3" xfId="5079" xr:uid="{FD62CD6D-975D-42BD-9F3B-97A93251A8CA}"/>
    <cellStyle name="Total 5 3 4" xfId="8286" xr:uid="{86CA9DBE-8DD6-441B-991A-A58A99227651}"/>
    <cellStyle name="Total 5 4" xfId="1929" xr:uid="{00000000-0005-0000-0000-000079080000}"/>
    <cellStyle name="Total 5 4 2" xfId="4029" xr:uid="{2D64B592-92B4-496F-A61E-55B02E62C01A}"/>
    <cellStyle name="Total 5 4 3" xfId="5333" xr:uid="{97653C0D-67EA-4F4C-ABE4-79CEE31670C6}"/>
    <cellStyle name="Total 5 4 4" xfId="8525" xr:uid="{F0C98A63-7EFB-49BD-A7EB-898C0C4745D1}"/>
    <cellStyle name="Total 5 5" xfId="2183" xr:uid="{00000000-0005-0000-0000-00007A080000}"/>
    <cellStyle name="Total 5 5 2" xfId="4273" xr:uid="{5836434E-8383-4999-8685-CE1F86C23E93}"/>
    <cellStyle name="Total 5 5 3" xfId="5569" xr:uid="{00E28BAA-95D4-4422-B614-617BB94D3624}"/>
    <cellStyle name="Total 5 5 4" xfId="8761" xr:uid="{5D3EAF72-691B-4308-9DE3-8E006481B2F3}"/>
    <cellStyle name="Total 5 6" xfId="2423" xr:uid="{50994254-990B-43BD-ABE6-C6D3CB2B559D}"/>
    <cellStyle name="Total 5 6 2" xfId="5803" xr:uid="{C479741B-5FDE-4B4B-A9BE-5BCD218C4F9F}"/>
    <cellStyle name="Total 5 6 3" xfId="8995" xr:uid="{92450CC6-2E19-4A9C-A978-3F456EBFD13A}"/>
    <cellStyle name="Total 5 7" xfId="2661" xr:uid="{47D1F214-5144-4A95-91D9-56D7C97333B8}"/>
    <cellStyle name="Total 5 7 2" xfId="6033" xr:uid="{AEB95C15-45EC-4A0D-8D98-2C80D072CEDF}"/>
    <cellStyle name="Total 5 7 3" xfId="9225" xr:uid="{48FCA4F7-A6EA-439B-A938-87323B51CF45}"/>
    <cellStyle name="Total 5 8" xfId="2898" xr:uid="{CBA93E8F-3E48-4A4D-9749-9E1CBBDD6246}"/>
    <cellStyle name="Total 5 8 2" xfId="6266" xr:uid="{E7E942B0-F91B-4EF5-A58A-7E0AB113FD60}"/>
    <cellStyle name="Total 5 8 3" xfId="9455" xr:uid="{D515FB7D-5E5C-4991-BBC3-6F2AA1083604}"/>
    <cellStyle name="Total 5 9" xfId="3103" xr:uid="{82E7DE5D-F735-4871-9DD2-0971C1597C7E}"/>
    <cellStyle name="Total 5 9 2" xfId="6503" xr:uid="{047AD925-0591-4DC7-9DD5-69A43DA50B6D}"/>
    <cellStyle name="Total 5 9 3" xfId="9687" xr:uid="{AFB1B87C-8CA7-4C8E-BF26-C1186D66FF9E}"/>
    <cellStyle name="Total 7" xfId="1232" xr:uid="{00000000-0005-0000-0000-00007B080000}"/>
    <cellStyle name="Total 7 10" xfId="7632" xr:uid="{866356BC-2072-41E0-9FB1-06405BF99F40}"/>
    <cellStyle name="Total 7 10 2" xfId="10766" xr:uid="{7F08102D-7190-4E22-968E-9E765223CF7F}"/>
    <cellStyle name="Total 7 11" xfId="7770" xr:uid="{EF19017F-A02F-4B4E-9001-D44009B969C5}"/>
    <cellStyle name="Total 7 11 2" xfId="10901" xr:uid="{104DBD06-0508-49D8-A26B-34CE6D4CA380}"/>
    <cellStyle name="Total 7 12" xfId="4654" xr:uid="{A98C654E-AE0B-42B8-98A6-D02CC5AA43C8}"/>
    <cellStyle name="Total 7 13" xfId="10908" xr:uid="{B137249D-F4CA-42EB-9393-BEB7024340C9}"/>
    <cellStyle name="Total 7 14" xfId="11154" xr:uid="{ED8E3EC8-B037-4B4F-B2EE-1E89145609C9}"/>
    <cellStyle name="Total 7 15" xfId="11572" xr:uid="{0AEABBDB-912C-402D-BC85-A98DCFA8E8A3}"/>
    <cellStyle name="Total 7 16" xfId="11721" xr:uid="{9EB93610-CBEE-458F-9EFE-8FE7E2C51C73}"/>
    <cellStyle name="Total 7 17" xfId="11804" xr:uid="{8165CE73-0205-4031-9DB1-943DBCA16E5F}"/>
    <cellStyle name="Total 7 18" xfId="12267" xr:uid="{B19AD117-8959-49E3-8D6C-BF2C289D29E8}"/>
    <cellStyle name="Total 7 19" xfId="13015" xr:uid="{F6F70E63-3FA6-4975-8F39-99152019722D}"/>
    <cellStyle name="Total 7 2" xfId="1418" xr:uid="{00000000-0005-0000-0000-00007C080000}"/>
    <cellStyle name="Total 7 2 2" xfId="3529" xr:uid="{EB455981-C0B6-4288-900A-1D8EAE93BDA9}"/>
    <cellStyle name="Total 7 2 3" xfId="4835" xr:uid="{39004789-21B7-4524-AF72-5B90325645FE}"/>
    <cellStyle name="Total 7 2 4" xfId="8045" xr:uid="{4832CE9E-B1F1-4810-A93E-68498B4F41C8}"/>
    <cellStyle name="Total 7 20" xfId="13023" xr:uid="{93B495F3-EEC3-4F88-B5A4-BD62CBB716B2}"/>
    <cellStyle name="Total 7 3" xfId="1930" xr:uid="{00000000-0005-0000-0000-00007D080000}"/>
    <cellStyle name="Total 7 3 2" xfId="4030" xr:uid="{EF94596B-BC37-463E-936B-CDD5DCB431C5}"/>
    <cellStyle name="Total 7 3 3" xfId="5090" xr:uid="{8AE56C90-DF0D-49E0-A6D3-1ABE325FB3A9}"/>
    <cellStyle name="Total 7 3 4" xfId="8290" xr:uid="{E199BEBA-4094-4072-AF21-4FD1C3A78A46}"/>
    <cellStyle name="Total 7 4" xfId="2184" xr:uid="{00000000-0005-0000-0000-00007E080000}"/>
    <cellStyle name="Total 7 4 2" xfId="4274" xr:uid="{4BA83BA7-0D7E-4535-A00B-73D45EC119C1}"/>
    <cellStyle name="Total 7 4 3" xfId="5334" xr:uid="{333A0F12-381B-4509-BA20-1B42C409094C}"/>
    <cellStyle name="Total 7 4 4" xfId="8526" xr:uid="{D38701F6-9582-405A-90A3-8F7D05B7EA8C}"/>
    <cellStyle name="Total 7 5" xfId="2662" xr:uid="{69096749-3D24-48F8-BE08-DD4930AE9E63}"/>
    <cellStyle name="Total 7 5 2" xfId="5570" xr:uid="{CB1FE017-637B-4EB5-9681-D3155DEEAACD}"/>
    <cellStyle name="Total 7 5 3" xfId="8762" xr:uid="{4768A8AC-60F5-4A84-BD8B-81396A141EB0}"/>
    <cellStyle name="Total 7 6" xfId="3104" xr:uid="{9426A630-0C0D-4D02-8186-826421479BFF}"/>
    <cellStyle name="Total 7 6 2" xfId="6504" xr:uid="{AE7E90B5-8A89-4F06-91A4-4981A064AB12}"/>
    <cellStyle name="Total 7 6 3" xfId="9688" xr:uid="{79C38139-9B25-409C-A624-A2BC976FDBD4}"/>
    <cellStyle name="Total 7 7" xfId="3348" xr:uid="{6270D630-FD15-4A02-85F2-D85CB5965EF2}"/>
    <cellStyle name="Total 7 7 2" xfId="6765" xr:uid="{E24CE65F-C3F2-4FE4-898E-28FA139B11EE}"/>
    <cellStyle name="Total 7 7 3" xfId="9930" xr:uid="{B4EA9332-D64B-4111-BFFE-A0FAC0DE2224}"/>
    <cellStyle name="Total 7 8" xfId="7027" xr:uid="{1A6C14B9-225F-496B-BA20-A533E8F7491B}"/>
    <cellStyle name="Total 7 8 2" xfId="10172" xr:uid="{0346D7F7-80DD-4B54-8254-3FC7CF68E591}"/>
    <cellStyle name="Total 7 9" xfId="7276" xr:uid="{2070EDC9-CC61-48C2-90A6-AF9EBADF13C0}"/>
    <cellStyle name="Total 7 9 2" xfId="10415" xr:uid="{043C7509-5B1E-4DBE-A377-08968BB704DB}"/>
    <cellStyle name="Total 8" xfId="1233" xr:uid="{00000000-0005-0000-0000-00007F080000}"/>
    <cellStyle name="Total 8 10" xfId="7277" xr:uid="{435AAE6F-6157-4596-8CC2-D6397BD2D6E4}"/>
    <cellStyle name="Total 8 10 2" xfId="10416" xr:uid="{028C5D7F-169E-4054-87EC-2AFF7FB15F8A}"/>
    <cellStyle name="Total 8 11" xfId="7633" xr:uid="{099F61D4-E286-43A2-9E05-98AA6740419F}"/>
    <cellStyle name="Total 8 11 2" xfId="10767" xr:uid="{26C1309C-6E0F-4F41-9E61-58B3FC981B88}"/>
    <cellStyle name="Total 8 12" xfId="7771" xr:uid="{CDD207C8-2CD4-4D40-BC7F-B2F58A7913B8}"/>
    <cellStyle name="Total 8 12 2" xfId="10902" xr:uid="{EFF4435A-31D3-4046-AB12-310BB9C7EBE0}"/>
    <cellStyle name="Total 8 13" xfId="4655" xr:uid="{F2DD644A-DDD1-437C-9A0F-7E1D687B34BE}"/>
    <cellStyle name="Total 8 14" xfId="10909" xr:uid="{D2F4AC79-A396-4910-9196-99225A3EAC1D}"/>
    <cellStyle name="Total 8 15" xfId="11155" xr:uid="{D552D0DC-EF1E-4BA6-8489-5FF3D9F4A483}"/>
    <cellStyle name="Total 8 16" xfId="11573" xr:uid="{7DBB1008-A305-476F-9422-6FD1A9B74099}"/>
    <cellStyle name="Total 8 17" xfId="11722" xr:uid="{0A4945B3-5F9B-4927-8A5E-7B6F1D2C84B1}"/>
    <cellStyle name="Total 8 18" xfId="11805" xr:uid="{2C93A2A3-6601-4140-AE7E-9F85DAB9D0CB}"/>
    <cellStyle name="Total 8 19" xfId="12268" xr:uid="{F1795CC0-1CF8-467F-8065-863BB7335581}"/>
    <cellStyle name="Total 8 2" xfId="1234" xr:uid="{00000000-0005-0000-0000-000080080000}"/>
    <cellStyle name="Total 8 2 10" xfId="7634" xr:uid="{113BDE52-8B97-4879-ABE0-34D077E3F6EC}"/>
    <cellStyle name="Total 8 2 10 2" xfId="10768" xr:uid="{B8959720-5562-4CE1-914C-211FEA82F796}"/>
    <cellStyle name="Total 8 2 11" xfId="7772" xr:uid="{DAB074A1-789D-4D3E-B96C-7172BCF27882}"/>
    <cellStyle name="Total 8 2 11 2" xfId="10903" xr:uid="{98073F96-24DE-4ACB-82BA-982D5F83C0C1}"/>
    <cellStyle name="Total 8 2 12" xfId="4656" xr:uid="{9B8CBE78-317A-447A-9D4C-34E0BF2DE4A6}"/>
    <cellStyle name="Total 8 2 13" xfId="10910" xr:uid="{4ACB7D12-9B3F-41E4-AD5A-AB6E10731048}"/>
    <cellStyle name="Total 8 2 14" xfId="11156" xr:uid="{6C730F64-B0DB-4ADA-AABD-98E3CC05EF6E}"/>
    <cellStyle name="Total 8 2 15" xfId="11574" xr:uid="{55F33E04-A7A2-43A7-8F6D-48C16AAFEBAF}"/>
    <cellStyle name="Total 8 2 16" xfId="11723" xr:uid="{F8ECCD4F-DAD6-4CB7-849B-F56A7ECFBDD4}"/>
    <cellStyle name="Total 8 2 17" xfId="11806" xr:uid="{5CCA4F5B-1DC3-41CE-8CC6-0AA2CAD7F4C4}"/>
    <cellStyle name="Total 8 2 18" xfId="12269" xr:uid="{ACBD9954-F05C-4A7D-8C14-5EBFD235BCB4}"/>
    <cellStyle name="Total 8 2 19" xfId="13017" xr:uid="{BB0AE40A-0606-4535-9D24-B767ACFD2C9A}"/>
    <cellStyle name="Total 8 2 2" xfId="1420" xr:uid="{00000000-0005-0000-0000-000081080000}"/>
    <cellStyle name="Total 8 2 2 2" xfId="3531" xr:uid="{59AF1248-10D4-4A55-95E6-5F40D242D3DF}"/>
    <cellStyle name="Total 8 2 2 3" xfId="4837" xr:uid="{732FC8E7-117E-42F9-A5ED-09A72AFF27DA}"/>
    <cellStyle name="Total 8 2 2 4" xfId="8047" xr:uid="{D85BF6E8-CEF7-4C9B-A012-B63D36E9EE4D}"/>
    <cellStyle name="Total 8 2 20" xfId="13025" xr:uid="{8EF08DED-C63E-4C56-9EE3-108875596396}"/>
    <cellStyle name="Total 8 2 3" xfId="1932" xr:uid="{00000000-0005-0000-0000-000082080000}"/>
    <cellStyle name="Total 8 2 3 2" xfId="4032" xr:uid="{EFFD2634-A77F-489A-BEF9-F6FB21B8028D}"/>
    <cellStyle name="Total 8 2 3 3" xfId="5092" xr:uid="{8F6FF236-D918-408A-983E-00FDEE9F3735}"/>
    <cellStyle name="Total 8 2 3 4" xfId="8292" xr:uid="{C4C3005C-5155-45F1-BAD6-B87C979BDB22}"/>
    <cellStyle name="Total 8 2 4" xfId="2186" xr:uid="{00000000-0005-0000-0000-000083080000}"/>
    <cellStyle name="Total 8 2 4 2" xfId="4276" xr:uid="{342F1F27-C45E-43DF-A834-7231D8712AEF}"/>
    <cellStyle name="Total 8 2 4 3" xfId="5336" xr:uid="{CF60C377-F596-4FF2-AB6C-5B04913F44FC}"/>
    <cellStyle name="Total 8 2 4 4" xfId="8528" xr:uid="{E9F93606-E9AB-4C83-86A1-A8C042783134}"/>
    <cellStyle name="Total 8 2 5" xfId="2664" xr:uid="{3471A92A-1708-40BB-81C7-9A6E2C153C03}"/>
    <cellStyle name="Total 8 2 5 2" xfId="5572" xr:uid="{3B87014B-3840-4C63-9C38-FB50C32A3992}"/>
    <cellStyle name="Total 8 2 5 3" xfId="8764" xr:uid="{82381CDA-D32D-4B01-9D46-7A54C0D65134}"/>
    <cellStyle name="Total 8 2 6" xfId="3106" xr:uid="{AF9CB41D-FFAE-42B6-A861-0BBA0A14ABC4}"/>
    <cellStyle name="Total 8 2 6 2" xfId="6506" xr:uid="{DC5CA65E-3DAD-4FAC-85CA-241AF06E4CA7}"/>
    <cellStyle name="Total 8 2 6 3" xfId="9690" xr:uid="{980128DC-D9BE-451D-ADAC-3861591DD3E0}"/>
    <cellStyle name="Total 8 2 7" xfId="3350" xr:uid="{C7088865-13A8-4E5C-8DA3-6A298E7ECF57}"/>
    <cellStyle name="Total 8 2 7 2" xfId="6767" xr:uid="{E4942E2E-327C-4072-A3CF-6845DB7F1F20}"/>
    <cellStyle name="Total 8 2 7 3" xfId="9932" xr:uid="{C13F6C81-3CC8-4696-93C9-5283328470CE}"/>
    <cellStyle name="Total 8 2 8" xfId="7029" xr:uid="{E886889D-5020-4432-919D-1FBEDDDAC377}"/>
    <cellStyle name="Total 8 2 8 2" xfId="10174" xr:uid="{515DD1EB-9090-45BE-A9D2-C7723336F269}"/>
    <cellStyle name="Total 8 2 9" xfId="7278" xr:uid="{48499218-6425-4D49-92D6-8D2E0EB5AE2F}"/>
    <cellStyle name="Total 8 2 9 2" xfId="10417" xr:uid="{EECE0A7C-8BAF-4128-9E2E-E06D87F08B78}"/>
    <cellStyle name="Total 8 20" xfId="13016" xr:uid="{59E1518E-6593-48B2-A2F8-4066477D1C2B}"/>
    <cellStyle name="Total 8 21" xfId="13024" xr:uid="{E78EAF3C-36C8-4EDF-BA8B-CEFC83198AA8}"/>
    <cellStyle name="Total 8 3" xfId="1419" xr:uid="{00000000-0005-0000-0000-000084080000}"/>
    <cellStyle name="Total 8 3 2" xfId="3530" xr:uid="{524BCBB2-AD9E-4666-8CF4-611EA1AD15E0}"/>
    <cellStyle name="Total 8 3 3" xfId="4836" xr:uid="{AD81528D-79F5-4FF2-9BE1-0E1E6ACB4CFE}"/>
    <cellStyle name="Total 8 3 4" xfId="8046" xr:uid="{48DEC39E-3DAF-4844-8671-4FE63337F24A}"/>
    <cellStyle name="Total 8 4" xfId="1931" xr:uid="{00000000-0005-0000-0000-000085080000}"/>
    <cellStyle name="Total 8 4 2" xfId="4031" xr:uid="{86BCE4DB-69F3-4FA5-89DC-B86B4C6529C7}"/>
    <cellStyle name="Total 8 4 3" xfId="5091" xr:uid="{E2BE5DC4-E3C4-4CBC-848D-924489C2367B}"/>
    <cellStyle name="Total 8 4 4" xfId="8291" xr:uid="{F0082BE1-E733-47A9-A1C7-9729CC8F61AA}"/>
    <cellStyle name="Total 8 5" xfId="2185" xr:uid="{00000000-0005-0000-0000-000086080000}"/>
    <cellStyle name="Total 8 5 2" xfId="4275" xr:uid="{C8D46E4D-578D-4451-B2F2-22C5897BA631}"/>
    <cellStyle name="Total 8 5 3" xfId="5335" xr:uid="{2502D1E0-4B32-46E5-AE7B-E25FCB846371}"/>
    <cellStyle name="Total 8 5 4" xfId="8527" xr:uid="{CF6BE554-08FC-4B0C-89E7-EC253CE494EA}"/>
    <cellStyle name="Total 8 6" xfId="2663" xr:uid="{F8D8873C-F82C-4808-A08C-8A3C8E1B29DF}"/>
    <cellStyle name="Total 8 6 2" xfId="5571" xr:uid="{2F10FDEF-B397-42C6-AA07-6534CAEEBF6B}"/>
    <cellStyle name="Total 8 6 3" xfId="8763" xr:uid="{D263E830-A070-4444-B1BD-4BA3E59250AF}"/>
    <cellStyle name="Total 8 7" xfId="3105" xr:uid="{DA6F8F18-1AC0-4938-83D5-38BA62E910BD}"/>
    <cellStyle name="Total 8 7 2" xfId="6505" xr:uid="{1842DA99-01EE-4F28-AF0C-21A318322EB8}"/>
    <cellStyle name="Total 8 7 3" xfId="9689" xr:uid="{3E4C8B3B-1012-411D-B1CB-412E38953382}"/>
    <cellStyle name="Total 8 8" xfId="3349" xr:uid="{73809F38-D091-4840-A672-0D3420D67B36}"/>
    <cellStyle name="Total 8 8 2" xfId="6766" xr:uid="{28C8ACD8-9BBC-4D63-AEF5-39E42C230AF3}"/>
    <cellStyle name="Total 8 8 3" xfId="9931" xr:uid="{B30EFD8D-FEC0-42A7-B9A3-A436D76DC689}"/>
    <cellStyle name="Total 8 9" xfId="7028" xr:uid="{B36FBC59-BADA-4A4F-8B34-A4C8417F2E59}"/>
    <cellStyle name="Total 8 9 2" xfId="10173" xr:uid="{BC5206B3-1372-46FA-913A-F1B8FCC89356}"/>
    <cellStyle name="Total 9" xfId="1235" xr:uid="{00000000-0005-0000-0000-000087080000}"/>
    <cellStyle name="Total 9 10" xfId="7635" xr:uid="{B2FB71B1-FC58-435B-89F8-0DCB4B22E647}"/>
    <cellStyle name="Total 9 10 2" xfId="10769" xr:uid="{636CE20F-FEA5-4D44-9334-ACC0F1702FCE}"/>
    <cellStyle name="Total 9 11" xfId="7773" xr:uid="{7225B967-8926-49C9-9A62-C5CD5DECFDDA}"/>
    <cellStyle name="Total 9 11 2" xfId="10904" xr:uid="{4DC486E0-5E63-4929-B3F1-05AE353D9640}"/>
    <cellStyle name="Total 9 12" xfId="4657" xr:uid="{07DF439D-975D-493B-91F1-632DC135271F}"/>
    <cellStyle name="Total 9 13" xfId="10911" xr:uid="{C11EFEA0-111A-4304-BFEC-0EA9F6DD65EF}"/>
    <cellStyle name="Total 9 14" xfId="11157" xr:uid="{83B6406C-1716-46F0-96B9-389DFF9EF6BD}"/>
    <cellStyle name="Total 9 15" xfId="11575" xr:uid="{890D8A06-449C-4814-8F29-52CA2546B17C}"/>
    <cellStyle name="Total 9 16" xfId="11724" xr:uid="{4A05D24C-3163-44A7-958D-37A03059ACB3}"/>
    <cellStyle name="Total 9 17" xfId="11807" xr:uid="{F2347CEF-AB92-4F2C-8908-E0F36E7959D2}"/>
    <cellStyle name="Total 9 18" xfId="12270" xr:uid="{7B541D95-CA42-4279-A8E2-17E3AA91C0DF}"/>
    <cellStyle name="Total 9 19" xfId="13018" xr:uid="{30416135-8936-40A9-9AAA-F232E402FE1E}"/>
    <cellStyle name="Total 9 2" xfId="1421" xr:uid="{00000000-0005-0000-0000-000088080000}"/>
    <cellStyle name="Total 9 2 2" xfId="3532" xr:uid="{CD82AECE-6FFE-4739-BC1C-9D4D5AB6ABF7}"/>
    <cellStyle name="Total 9 2 3" xfId="4838" xr:uid="{266AA48C-EB2C-4005-9EB6-6A51D177EE22}"/>
    <cellStyle name="Total 9 2 4" xfId="8048" xr:uid="{A2AB11B2-69E9-4FB0-9D48-2B36BF4091D2}"/>
    <cellStyle name="Total 9 20" xfId="13026" xr:uid="{E6EA1F03-A009-4C8B-9E2B-7844EFEDE33A}"/>
    <cellStyle name="Total 9 3" xfId="1933" xr:uid="{00000000-0005-0000-0000-000089080000}"/>
    <cellStyle name="Total 9 3 2" xfId="4033" xr:uid="{5ABA291B-A3DD-4D26-8936-D1D62EC9EBAF}"/>
    <cellStyle name="Total 9 3 3" xfId="5093" xr:uid="{B9027BA5-0737-4FA1-A95B-C870742B1773}"/>
    <cellStyle name="Total 9 3 4" xfId="8293" xr:uid="{11320A8C-36BF-4B4D-A583-33DCD31315CA}"/>
    <cellStyle name="Total 9 4" xfId="2187" xr:uid="{00000000-0005-0000-0000-00008A080000}"/>
    <cellStyle name="Total 9 4 2" xfId="4277" xr:uid="{D4FC49C9-73EC-4644-B12A-4E865817B978}"/>
    <cellStyle name="Total 9 4 3" xfId="5337" xr:uid="{47DBA9BB-B5D6-45A7-9A18-C882DDF685F0}"/>
    <cellStyle name="Total 9 4 4" xfId="8529" xr:uid="{540EF6D5-37C8-4A2F-BEAA-36C815A36B31}"/>
    <cellStyle name="Total 9 5" xfId="2665" xr:uid="{FB06A08F-BBC5-4A7C-ABF1-DE94B706FC54}"/>
    <cellStyle name="Total 9 5 2" xfId="5573" xr:uid="{81B445B3-7449-4D3F-B1E7-E00AA6AC65A8}"/>
    <cellStyle name="Total 9 5 3" xfId="8765" xr:uid="{DE0BE1E1-490E-40C1-BA32-317D5DCD72EA}"/>
    <cellStyle name="Total 9 6" xfId="3107" xr:uid="{EAAEB221-C0FD-4028-92B6-B734144744B9}"/>
    <cellStyle name="Total 9 6 2" xfId="6507" xr:uid="{DFAB5900-D29C-4CB8-B721-00A61B827E24}"/>
    <cellStyle name="Total 9 6 3" xfId="9691" xr:uid="{A24D7385-658A-49AC-9E45-8DB3F5B2FB48}"/>
    <cellStyle name="Total 9 7" xfId="3351" xr:uid="{7BDE8CDC-F12A-489C-B4E2-061BBB9E52D2}"/>
    <cellStyle name="Total 9 7 2" xfId="6768" xr:uid="{ED7E1FEF-6375-4765-89FF-E57EF31D008D}"/>
    <cellStyle name="Total 9 7 3" xfId="9933" xr:uid="{B00458E1-F618-42E6-8500-8A5F607251BE}"/>
    <cellStyle name="Total 9 8" xfId="7030" xr:uid="{1F4D13A8-B8B2-42CD-81B2-ADBDADD595BE}"/>
    <cellStyle name="Total 9 8 2" xfId="10175" xr:uid="{3377AED1-6B98-4A6A-8EC6-9735E4543B6D}"/>
    <cellStyle name="Total 9 9" xfId="7279" xr:uid="{B18C1B11-29AD-4A67-B06F-FAA05384C0F0}"/>
    <cellStyle name="Total 9 9 2" xfId="10418" xr:uid="{A315DDAB-A57C-47B2-B9B7-A5170A4CFE67}"/>
    <cellStyle name="Warning Text" xfId="1236" xr:uid="{00000000-0005-0000-0000-00008B080000}"/>
    <cellStyle name="weeks" xfId="1237" xr:uid="{00000000-0005-0000-0000-00008C080000}"/>
    <cellStyle name="X'S" xfId="1238" xr:uid="{00000000-0005-0000-0000-00008D080000}"/>
    <cellStyle name="year" xfId="1239" xr:uid="{00000000-0005-0000-0000-00008E080000}"/>
    <cellStyle name="years" xfId="1240" xr:uid="{00000000-0005-0000-0000-00008F0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" name="Lin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" name="Lin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" name="Lin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" name="Lin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" name="Lin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" name="Lin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" name="Lin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" name="Lin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" name="Lin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" name="Lin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" name="Lin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" name="Lin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" name="Lin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" name="Lin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" name="Lin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" name="Lin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" name="Lin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" name="Lin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" name="Lin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" name="Lin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" name="Lin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" name="Lin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" name="Lin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" name="Lin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" name="Lin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" name="Lin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" name="Lin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" name="Lin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" name="Lin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" name="Lin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" name="Lin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" name="Lin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" name="Lin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" name="Lin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" name="Lin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" name="Lin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" name="Lin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" name="Lin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" name="Lin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" name="Lin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" name="Lin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" name="Lin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4" name="Lin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5" name="Lin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6" name="Lin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7" name="Lin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8" name="Lin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9" name="Lin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0" name="Lin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1" name="Lin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2" name="Lin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3" name="Lin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4" name="Lin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5" name="Lin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6" name="Lin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7" name="Lin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8" name="Lin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49" name="Lin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0" name="Lin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1" name="Lin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2" name="Lin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3" name="Lin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4" name="Lin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5" name="Lin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6" name="Lin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7" name="Lin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8" name="Lin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59" name="Lin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0" name="Lin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1" name="Lin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2" name="Lin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3" name="Lin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4" name="Lin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5" name="Lin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6" name="Lin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7" name="Lin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8" name="Lin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69" name="Lin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0" name="Lin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1" name="Lin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2" name="Lin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3" name="Lin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4" name="Lin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5" name="Lin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6" name="Lin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7" name="Lin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8" name="Lin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79" name="Lin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0" name="Lin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1" name="Lin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2" name="Lin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3" name="Lin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4" name="Lin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5" name="Lin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6" name="Lin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7" name="Lin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8" name="Lin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89" name="Lin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0" name="Lin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1" name="Lin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2" name="Lin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3" name="Lin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4" name="Lin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5" name="Lin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6" name="Lin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7" name="Lin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8" name="Lin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99" name="Lin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0" name="Lin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1" name="Lin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2" name="Lin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3" name="Lin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4" name="Lin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5" name="Lin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6" name="Lin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7" name="Lin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8" name="Lin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09" name="Lin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0" name="Lin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1" name="Lin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2" name="Lin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3" name="Lin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4" name="Lin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5" name="Lin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6" name="Lin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7" name="Lin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8" name="Lin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19" name="Lin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0" name="Lin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1" name="Lin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2" name="Lin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3" name="Lin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4" name="Lin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5" name="Lin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6" name="Lin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7" name="Lin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8" name="Lin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29" name="Lin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0" name="Lin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1" name="Lin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2" name="Lin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3" name="Lin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4" name="Lin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5" name="Lin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6" name="Lin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7" name="Lin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8" name="Lin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39" name="Lin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0" name="Lin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1" name="Lin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2" name="Lin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3" name="Lin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4" name="Lin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5" name="Lin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6" name="Lin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7" name="Lin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8" name="Lin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49" name="Lin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0" name="Lin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1" name="Lin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2" name="Lin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3" name="Lin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4" name="Lin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5" name="Lin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6" name="Lin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7" name="Lin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8" name="Lin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59" name="Lin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0" name="Lin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1" name="Lin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2" name="Lin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3" name="Lin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4" name="Lin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5" name="Lin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6" name="Lin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7" name="Lin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8" name="Lin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69" name="Lin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0" name="Lin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1" name="Lin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2" name="Lin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3" name="Lin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4" name="Lin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5" name="Lin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6" name="Lin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7" name="Lin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8" name="Lin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79" name="Lin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0" name="Lin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1" name="Lin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2" name="Lin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3" name="Lin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4" name="Lin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5" name="Lin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6" name="Lin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7" name="Lin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8" name="Lin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89" name="Lin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0" name="Lin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1" name="Lin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2" name="Lin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3" name="Lin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4" name="Lin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5" name="Lin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6" name="Lin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7" name="Lin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8" name="Lin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299" name="Lin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0" name="Lin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1" name="Lin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2" name="Lin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3" name="Lin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4" name="Lin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5" name="Lin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6" name="Lin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7" name="Lin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8" name="Lin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09" name="Lin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0" name="Lin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1" name="Lin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2" name="Lin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3" name="Lin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4" name="Lin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5" name="Lin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6" name="Lin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7" name="Lin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8" name="Lin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19" name="Lin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0" name="Lin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1" name="Lin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2" name="Lin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3" name="Lin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4" name="Lin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5" name="Lin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6" name="Lin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7" name="Lin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8" name="Lin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29" name="Lin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0" name="Lin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1" name="Lin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2" name="Lin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3" name="Lin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4" name="Lin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5" name="Lin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6" name="Lin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7" name="Lin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8" name="Lin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39" name="Lin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0" name="Lin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1" name="Lin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2" name="Lin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3" name="Lin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4" name="Lin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5" name="Lin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6" name="Lin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7" name="Lin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8" name="Lin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49" name="Lin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0" name="Lin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1" name="Lin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2" name="Lin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3" name="Lin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4" name="Lin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5" name="Lin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6" name="Lin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7" name="Lin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8" name="Lin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59" name="Lin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0" name="Lin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1" name="Lin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2" name="Lin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3" name="Lin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4" name="Lin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5" name="Lin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6" name="Lin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7" name="Lin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8" name="Lin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69" name="Lin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0" name="Lin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1" name="Lin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2" name="Lin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3" name="Lin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4" name="Lin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5" name="Lin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6" name="Lin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7" name="Lin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8" name="Lin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79" name="Lin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0" name="Lin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1" name="Lin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2" name="Lin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3" name="Lin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4" name="Lin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5" name="Lin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6" name="Lin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7" name="Lin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8" name="Lin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89" name="Lin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0" name="Lin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1" name="Lin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2" name="Lin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3" name="Lin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4" name="Lin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5" name="Lin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6" name="Lin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7" name="Lin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8" name="Lin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399" name="Lin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0" name="Lin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1" name="Lin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2" name="Lin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3" name="Lin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4" name="Lin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5" name="Lin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6" name="Lin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7" name="Lin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8" name="Lin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09" name="Lin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0" name="Lin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1" name="Lin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2" name="Lin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3" name="Lin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4" name="Lin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5" name="Lin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6" name="Lin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7" name="Lin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8" name="Lin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19" name="Lin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0" name="Lin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1" name="Lin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2" name="Lin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3" name="Lin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4" name="Lin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5" name="Lin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6" name="Lin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7" name="Lin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8" name="Lin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29" name="Lin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0" name="Lin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1" name="Lin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2" name="Lin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3" name="Lin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4" name="Lin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5" name="Lin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6" name="Lin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7" name="Lin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8" name="Lin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39" name="Lin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0" name="Lin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1" name="Lin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2" name="Lin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3" name="Lin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4" name="Lin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5" name="Lin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6" name="Lin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7" name="Lin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8" name="Lin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49" name="Lin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0" name="Lin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1" name="Lin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2" name="Lin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3" name="Lin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4" name="Lin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5" name="Lin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6" name="Lin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7" name="Lin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8" name="Lin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59" name="Lin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0" name="Lin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1" name="Lin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2" name="Lin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3" name="Lin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4" name="Lin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5" name="Lin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6" name="Lin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7" name="Lin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8" name="Lin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69" name="Lin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0" name="Lin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1" name="Lin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2" name="Lin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3" name="Lin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4" name="Lin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5" name="Lin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6" name="Lin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7" name="Lin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8" name="Lin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79" name="Lin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0" name="Lin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1" name="Lin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2" name="Lin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3" name="Lin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4" name="Lin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5" name="Lin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6" name="Lin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7" name="Lin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8" name="Lin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89" name="Lin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0" name="Lin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1" name="Lin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2" name="Lin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3" name="Lin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4" name="Lin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5" name="Lin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6" name="Lin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7" name="Lin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8" name="Lin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499" name="Lin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0" name="Lin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1" name="Lin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2" name="Lin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3" name="Lin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4" name="Lin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5" name="Lin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6" name="Lin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7" name="Lin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8" name="Lin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09" name="Lin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0" name="Lin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1" name="Lin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2" name="Lin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3" name="Lin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4" name="Lin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5" name="Lin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6" name="Lin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7" name="Lin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8" name="Lin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19" name="Lin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0" name="Lin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1" name="Lin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2" name="Lin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3" name="Lin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4" name="Lin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5" name="Lin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6" name="Lin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7" name="Lin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8" name="Lin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29" name="Lin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0" name="Line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1" name="Lin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2" name="Lin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3" name="Lin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4" name="Lin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5" name="Lin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6" name="Lin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7" name="Lin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8" name="Lin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39" name="Lin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0" name="Lin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1" name="Lin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2" name="Lin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3" name="Lin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4" name="Lin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5" name="Lin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6" name="Lin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7" name="Lin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8" name="Line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49" name="Line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0" name="Lin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1" name="Lin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2" name="Lin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3" name="Lin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4" name="Lin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5" name="Lin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6" name="Lin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7" name="Lin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8" name="Lin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59" name="Lin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0" name="Line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1" name="Lin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2" name="Lin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3" name="Lin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4" name="Lin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5" name="Lin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6" name="Line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7" name="Lin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8" name="Lin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69" name="Line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0" name="Lin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1" name="Lin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2" name="Lin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3" name="Lin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4" name="Lin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575" name="Lin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144</xdr:row>
      <xdr:rowOff>0</xdr:rowOff>
    </xdr:from>
    <xdr:to>
      <xdr:col>11</xdr:col>
      <xdr:colOff>0</xdr:colOff>
      <xdr:row>144</xdr:row>
      <xdr:rowOff>0</xdr:rowOff>
    </xdr:to>
    <xdr:sp macro="" textlink="">
      <xdr:nvSpPr>
        <xdr:cNvPr id="576" name="Lin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ShapeType="1"/>
        </xdr:cNvSpPr>
      </xdr:nvSpPr>
      <xdr:spPr bwMode="auto">
        <a:xfrm>
          <a:off x="9286875" y="28603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7" name="Lin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8" name="Lin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79" name="Lin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0" name="Lin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1" name="Lin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2" name="Lin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3" name="Lin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4" name="Lin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5" name="Lin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6" name="Line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7" name="Lin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8" name="Lin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89" name="Line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0" name="Line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1" name="Line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2" name="Lin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3" name="Line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4" name="Lin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5" name="Line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6" name="Lin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7" name="Line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8" name="Lin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599" name="Lin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0" name="Lin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1" name="Lin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2" name="Lin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3" name="Lin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4" name="Lin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5" name="Lin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6" name="Lin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7" name="Lin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8" name="Line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09" name="Line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0" name="Line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1" name="Line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2" name="Line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3" name="Line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4" name="Line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5" name="Line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6" name="Line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7" name="Line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8" name="Lin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19" name="Line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0" name="Line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1" name="Lin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2" name="Line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3" name="Line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4" name="Lin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5" name="Line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6" name="Line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7" name="Line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8" name="Line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29" name="Line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0" name="Line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1" name="Line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2" name="Lin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3" name="Lin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4" name="Lin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5" name="Lin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6" name="Lin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7" name="Lin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8" name="Line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39" name="Lin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0" name="Line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1" name="Line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2" name="Lin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3" name="Line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4" name="Line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5" name="Line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6" name="Line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7" name="Line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8" name="Line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49" name="Line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0" name="Line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1" name="Line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2" name="Line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3" name="Line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4" name="Lin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5" name="Line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6" name="Line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7" name="Line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8" name="Line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59" name="Line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0" name="Line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1" name="Line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2" name="Line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3" name="Line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4" name="Line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5" name="Line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6" name="Line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7" name="Line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8" name="Line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69" name="Line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0" name="Line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1" name="Line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2" name="Line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3" name="Line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4" name="Line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5" name="Line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6" name="Line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7" name="Line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8" name="Line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79" name="Line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0" name="Line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1" name="Line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2" name="Line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3" name="Line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4" name="Line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5" name="Line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6" name="Line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7" name="Line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8" name="Line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89" name="Line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0" name="Line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1" name="Line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2" name="Line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3" name="Line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4" name="Line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5" name="Line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6" name="Line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7" name="Line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8" name="Line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699" name="Line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0" name="Line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1" name="Line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2" name="Line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3" name="Line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4" name="Line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5" name="Line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6" name="Line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7" name="Line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8" name="Line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09" name="Line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0" name="Line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1" name="Line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2" name="Line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3" name="Line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4" name="Line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5" name="Line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6" name="Line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7" name="Line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8" name="Line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19" name="Line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0" name="Line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1" name="Line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2" name="Line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3" name="Line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4" name="Line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5" name="Line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6" name="Line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7" name="Line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8" name="Line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29" name="Line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0" name="Line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1" name="Line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2" name="Line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3" name="Line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4" name="Line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5" name="Line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6" name="Line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7" name="Line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8" name="Line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39" name="Line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0" name="Line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1" name="Line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2" name="Line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3" name="Line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4" name="Line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5" name="Line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6" name="Line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7" name="Line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8" name="Line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49" name="Line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0" name="Line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1" name="Line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2" name="Line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3" name="Line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4" name="Line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5" name="Line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6" name="Line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7" name="Line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8" name="Line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59" name="Line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0" name="Line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1" name="Line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2" name="Line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3" name="Line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4" name="Line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5" name="Line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6" name="Line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7" name="Line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8" name="Line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69" name="Line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0" name="Line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1" name="Line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2" name="Line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3" name="Line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4" name="Line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5" name="Line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6" name="Line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7" name="Line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8" name="Line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79" name="Line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0" name="Line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1" name="Line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2" name="Line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3" name="Line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4" name="Line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5" name="Line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6" name="Line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7" name="Line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8" name="Line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89" name="Line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0" name="Line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1" name="Line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2" name="Line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3" name="Line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4" name="Line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5" name="Line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6" name="Lin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7" name="Lin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8" name="Lin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799" name="Lin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0" name="Lin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1" name="Lin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2" name="Lin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3" name="Lin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4" name="Lin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5" name="Lin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6" name="Lin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7" name="Lin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8" name="Lin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09" name="Lin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0" name="Lin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1" name="Lin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2" name="Lin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3" name="Lin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4" name="Lin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5" name="Lin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6" name="Lin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7" name="Lin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8" name="Lin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19" name="Lin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0" name="Lin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1" name="Lin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2" name="Lin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3" name="Lin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4" name="Lin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5" name="Lin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6" name="Lin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7" name="Lin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8" name="Lin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29" name="Lin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0" name="Lin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1" name="Lin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2" name="Lin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3" name="Lin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4" name="Lin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5" name="Lin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6" name="Lin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7" name="Lin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8" name="Lin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39" name="Lin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0" name="Lin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1" name="Lin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2" name="Lin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3" name="Lin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4" name="Lin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5" name="Lin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6" name="Lin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7" name="Lin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8" name="Lin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49" name="Lin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0" name="Lin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1" name="Lin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2" name="Lin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3" name="Lin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4" name="Lin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5" name="Lin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6" name="Lin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7" name="Lin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8" name="Lin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59" name="Lin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0" name="Lin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1" name="Lin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2" name="Lin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3" name="Lin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4" name="Lin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5" name="Lin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6" name="Lin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7" name="Lin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8" name="Lin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69" name="Lin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0" name="Lin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1" name="Lin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2" name="Lin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3" name="Lin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4" name="Lin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5" name="Lin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6" name="Lin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7" name="Lin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8" name="Lin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79" name="Lin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0" name="Lin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1" name="Lin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2" name="Lin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3" name="Lin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4" name="Lin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5" name="Lin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6" name="Lin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7" name="Lin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8" name="Lin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89" name="Lin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0" name="Lin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1" name="Lin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2" name="Lin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3" name="Lin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4" name="Lin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5" name="Lin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6" name="Lin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7" name="Lin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8" name="Lin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899" name="Lin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0" name="Lin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1" name="Lin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2" name="Lin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3" name="Lin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4" name="Lin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5" name="Lin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6" name="Lin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7" name="Lin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8" name="Lin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09" name="Lin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0" name="Lin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1" name="Lin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2" name="Lin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3" name="Lin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4" name="Lin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5" name="Lin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6" name="Lin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7" name="Lin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8" name="Lin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19" name="Lin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0" name="Lin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1" name="Lin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2" name="Lin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3" name="Line 92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4" name="Line 92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5" name="Lin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6" name="Lin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7" name="Lin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8" name="Lin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29" name="Line 92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0" name="Line 92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1" name="Line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2" name="Line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3" name="Line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4" name="Line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5" name="Line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6" name="Line 935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7" name="Line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8" name="Line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39" name="Line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0" name="Line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1" name="Line 940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2" name="Line 94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3" name="Line 94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4" name="Line 94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5" name="Line 944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6" name="Line 945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7" name="Line 94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8" name="Line 94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49" name="Line 94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0" name="Line 94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1" name="Line 95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2" name="Line 95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3" name="Line 95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4" name="Line 95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5" name="Line 954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6" name="Line 955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7" name="Line 956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8" name="Line 95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59" name="Line 958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0" name="Line 959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1" name="Line 960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2" name="Line 96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3" name="Line 96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4" name="Line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5" name="Line 964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6" name="Line 96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7" name="Line 966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8" name="Line 96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69" name="Line 968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0" name="Line 969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1" name="Line 970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2" name="Line 97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3" name="Line 97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4" name="Line 97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5" name="Line 974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6" name="Line 975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7" name="Line 976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8" name="Line 97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79" name="Line 978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0" name="Line 97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1" name="Line 980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2" name="Lin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3" name="Lin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4" name="Lin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5" name="Lin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6" name="Lin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7" name="Lin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8" name="Lin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89" name="Line 9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0" name="Line 9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1" name="Line 99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2" name="Line 99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3" name="Lin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4" name="Lin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5" name="Lin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6" name="Lin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7" name="Lin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8" name="Lin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999" name="Lin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0" name="Lin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1" name="Lin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2" name="Lin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3" name="Lin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4" name="Lin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5" name="Lin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6" name="Lin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7" name="Lin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8" name="Lin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09" name="Lin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0" name="Lin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1" name="Lin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2" name="Lin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3" name="Lin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4" name="Lin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5" name="Lin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6" name="Lin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7" name="Lin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8" name="Lin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19" name="Lin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0" name="Lin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1" name="Lin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2" name="Lin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3" name="Lin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4" name="Lin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5" name="Lin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6" name="Lin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7" name="Lin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8" name="Lin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29" name="Lin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0" name="Lin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1" name="Lin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2" name="Lin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3" name="Lin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4" name="Lin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5" name="Lin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6" name="Lin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7" name="Lin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8" name="Lin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39" name="Lin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0" name="Lin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1" name="Lin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2" name="Lin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3" name="Lin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4" name="Lin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5" name="Lin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6" name="Lin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7" name="Lin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8" name="Lin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49" name="Lin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0" name="Lin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1" name="Lin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2" name="Lin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3" name="Lin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4" name="Lin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5" name="Lin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6" name="Lin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7" name="Lin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8" name="Lin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59" name="Lin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0" name="Lin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1" name="Lin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2" name="Line 106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3" name="Line 106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4" name="Lin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5" name="Lin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6" name="Lin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7" name="Lin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8" name="Lin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69" name="Lin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0" name="Lin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1" name="Lin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2" name="Lin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3" name="Lin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4" name="Lin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5" name="Lin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6" name="Lin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7" name="Lin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8" name="Lin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79" name="Lin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0" name="Lin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1" name="Lin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2" name="Lin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3" name="Lin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4" name="Lin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5" name="Line 1084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6" name="Lin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7" name="Lin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8" name="Lin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89" name="Lin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0" name="Lin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1" name="Lin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2" name="Lin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3" name="Lin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4" name="Lin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5" name="Lin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6" name="Lin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7" name="Lin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8" name="Lin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099" name="Lin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0" name="Lin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1" name="Lin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2" name="Lin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3" name="Lin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4" name="Lin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5" name="Lin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6" name="Lin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7" name="Lin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8" name="Lin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09" name="Lin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0" name="Line 1109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1" name="Lin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2" name="Lin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3" name="Lin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4" name="Lin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5" name="Lin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6" name="Lin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7" name="Lin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8" name="Lin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19" name="Lin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0" name="Lin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1" name="Lin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2" name="Lin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3" name="Lin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4" name="Lin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5" name="Lin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6" name="Lin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7" name="Lin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8" name="Lin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29" name="Lin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0" name="Lin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1" name="Lin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2" name="Lin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3" name="Lin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4" name="Lin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5" name="Lin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6" name="Lin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7" name="Lin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8" name="Lin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39" name="Lin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0" name="Lin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1" name="Lin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2" name="Lin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3" name="Lin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4" name="Lin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5" name="Lin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6" name="Lin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7" name="Lin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8" name="Lin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49" name="Lin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0" name="Lin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1" name="Lin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2" name="Lin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3" name="Lin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4" name="Lin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5" name="Lin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6" name="Lin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7" name="Lin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8" name="Line 1157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59" name="Lin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0" name="Lin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1" name="Lin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2" name="Lin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3" name="Lin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4" name="Lin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5" name="Lin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6" name="Lin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7" name="Lin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8" name="Lin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69" name="Lin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0" name="Lin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1" name="Lin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2" name="Lin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3" name="Lin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4" name="Lin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5" name="Lin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6" name="Lin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7" name="Lin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8" name="Lin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79" name="Lin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0" name="Lin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1" name="Lin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2" name="Lin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3" name="Line 1182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4" name="Lin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5" name="Lin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6" name="Lin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7" name="Lin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8" name="Lin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89" name="Lin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0" name="Lin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1" name="Lin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2" name="Lin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3" name="Lin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4" name="Lin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5" name="Lin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6" name="Lin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7" name="Lin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8" name="Lin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199" name="Lin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0" name="Lin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1" name="Lin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2" name="Lin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3" name="Lin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4" name="Lin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5" name="Lin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6" name="Lin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7" name="Lin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8" name="Line 1207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09" name="Lin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0" name="Lin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1" name="Lin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2" name="Lin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3" name="Lin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4" name="Lin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5" name="Lin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6" name="Lin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7" name="Lin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8" name="Lin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19" name="Lin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0" name="Lin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1" name="Lin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2" name="Lin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3" name="Lin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4" name="Lin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5" name="Lin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6" name="Lin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7" name="Lin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8" name="Lin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29" name="Lin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0" name="Lin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1" name="Line 1230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2" name="Lin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3" name="Lin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4" name="Lin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5" name="Lin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6" name="Lin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7" name="Lin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8" name="Lin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39" name="Lin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0" name="Lin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1" name="Lin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2" name="Lin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3" name="Lin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4" name="Lin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5" name="Lin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6" name="Lin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7" name="Lin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8" name="Lin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49" name="Lin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0" name="Lin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1" name="Lin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2" name="Lin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3" name="Lin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4" name="Lin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5" name="Lin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6" name="Lin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7" name="Lin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8" name="Lin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59" name="Lin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0" name="Lin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1" name="Lin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2" name="Lin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3" name="Lin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4" name="Lin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5" name="Lin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6" name="Lin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7" name="Lin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8" name="Lin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69" name="Lin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0" name="Lin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1" name="Lin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2" name="Lin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3" name="Lin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4" name="Lin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5" name="Lin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6" name="Lin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7" name="Lin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8" name="Lin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79" name="Lin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0" name="Lin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1" name="Lin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2" name="Lin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3" name="Lin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4" name="Line 128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5" name="Line 1284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6" name="Line 1285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7" name="Line 128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8" name="Line 1287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89" name="Line 1288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0" name="Line 1289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1" name="Line 1290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2" name="Line 129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3" name="Line 1292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4" name="Line 129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5" name="Line 1294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6" name="Line 1295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7" name="Line 129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8" name="Line 1297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299" name="Line 129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0" name="Line 1299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1" name="Line 1300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2" name="Line 130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3" name="Line 1302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4" name="Line 1303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5" name="Line 1304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6" name="Line 1305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7" name="Line 1306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8" name="Line 1307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09" name="Line 1308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0" name="Line 1309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1" name="Line 131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2" name="Line 131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3" name="Line 1312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4" name="Line 1313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5" name="Line 1314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6" name="Line 1315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7" name="Line 1316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8" name="Line 1317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19" name="Line 1318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0" name="Line 1319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1" name="Line 1320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2" name="Line 132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3" name="Line 1322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4" name="Line 1323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5" name="Line 1324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6" name="Line 1325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7" name="Line 132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8" name="Line 1327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29" name="Line 1328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0" name="Line 1329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1" name="Line 1330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2" name="Line 133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3" name="Line 1332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4" name="Line 1333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163</xdr:row>
      <xdr:rowOff>9525</xdr:rowOff>
    </xdr:from>
    <xdr:to>
      <xdr:col>11</xdr:col>
      <xdr:colOff>0</xdr:colOff>
      <xdr:row>163</xdr:row>
      <xdr:rowOff>9525</xdr:rowOff>
    </xdr:to>
    <xdr:sp macro="" textlink="">
      <xdr:nvSpPr>
        <xdr:cNvPr id="1335" name="Line 1334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ShapeType="1"/>
        </xdr:cNvSpPr>
      </xdr:nvSpPr>
      <xdr:spPr bwMode="auto">
        <a:xfrm>
          <a:off x="9286875" y="322421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36" name="Line 1335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37" name="Line 1336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38" name="Line 1337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39" name="Line 1338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0" name="Line 1339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1" name="Line 1340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2" name="Line 134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3" name="Line 1342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4" name="Line 1343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5" name="Line 1344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6" name="Line 1345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7" name="Line 1346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8" name="Line 1347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49" name="Line 1348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0" name="Line 1349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1" name="Line 1350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2" name="Line 135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3" name="Line 1352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4" name="Line 1353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5" name="Line 1354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6" name="Line 135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7" name="Line 1356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8" name="Line 1357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59" name="Line 1358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0" name="Line 1359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1" name="Line 1360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2" name="Line 136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3" name="Line 13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4" name="Line 1363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5" name="Line 1364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6" name="Line 136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7" name="Line 1366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8" name="Line 1367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69" name="Line 1368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0" name="Line 1369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1" name="Line 1370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2" name="Line 137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3" name="Line 1372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4" name="Line 1373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5" name="Line 1374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6" name="Line 1375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7" name="Line 1376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8" name="Line 1377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79" name="Line 1378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0" name="Line 1379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1" name="Line 1380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2" name="Line 138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3" name="Line 1382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4" name="Line 1383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5" name="Line 1384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6" name="Line 1385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7" name="Line 138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8" name="Line 1387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89" name="Line 1388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0" name="Line 1389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1" name="Line 1390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2" name="Line 139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3" name="Line 1392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4" name="Line 1393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5" name="Line 1394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6" name="Line 1395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7" name="Line 13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8" name="Line 1397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399" name="Line 1398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0" name="Line 1399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1" name="Line 1400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2" name="Line 140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3" name="Line 140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4" name="Line 1403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5" name="Line 1404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6" name="Line 1405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7" name="Line 140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8" name="Line 1407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09" name="Line 1408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0" name="Line 1409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1" name="Line 1410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2" name="Line 141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3" name="Line 1412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4" name="Line 1413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5" name="Line 1414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6" name="Line 1415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7" name="Line 1416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8" name="Line 1417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19" name="Line 1418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0" name="Line 1419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1" name="Line 1420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2" name="Line 142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3" name="Line 1422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4" name="Line 1423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5" name="Line 1424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6" name="Line 1425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7" name="Line 142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8" name="Line 1427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29" name="Line 1428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0" name="Line 1429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1" name="Line 1430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2" name="Line 143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3" name="Line 1432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4" name="Line 1433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5" name="Line 1434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6" name="Line 1435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7" name="Line 1436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8" name="Line 1437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39" name="Line 1438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0" name="Line 1439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1" name="Line 1440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2" name="Line 144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3" name="Line 1442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4" name="Line 144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5" name="Line 1444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6" name="Line 144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7" name="Line 144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8" name="Line 1447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49" name="Line 1448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0" name="Line 1449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1" name="Line 1450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2" name="Line 145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3" name="Line 1452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4" name="Line 1453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5" name="Line 1454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6" name="Line 1455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7" name="Line 145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8" name="Line 1457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59" name="Line 1458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0" name="Line 1459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1" name="Line 1460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2" name="Line 146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3" name="Line 1462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4" name="Line 146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5" name="Line 1464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6" name="Line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7" name="Line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8" name="Line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69" name="Line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0" name="Line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1" name="Line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2" name="Line 147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3" name="Line 1472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4" name="Line 1473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5" name="Line 1474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6" name="Line 1475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7" name="Line 1476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8" name="Line 1477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79" name="Line 1478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0" name="Line 1479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1" name="Line 1480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2" name="Line 148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3" name="Line 1482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4" name="Line 1483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5" name="Line 1484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6" name="Line 1485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7" name="Line 1486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8" name="Line 1487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89" name="Line 1488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0" name="Line 1489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1" name="Line 1490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2" name="Line 149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3" name="Line 1492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4" name="Line 1493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5" name="Line 1494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6" name="Line 1495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7" name="Line 1496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8" name="Line 1497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499" name="Line 1498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0" name="Line 1499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1" name="Line 1500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2" name="Line 150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3" name="Line 1502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4" name="Line 1503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5" name="Line 1504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6" name="Line 1505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7" name="Line 1506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8" name="Line 1507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09" name="Line 1508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0" name="Line 1509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1" name="Line 1510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2" name="Line 151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3" name="Line 1512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4" name="Line 1513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5" name="Line 1514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6" name="Line 1515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7" name="Line 1516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8" name="Line 1517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19" name="Line 1518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0" name="Line 1519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1" name="Line 1520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2" name="Line 152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3" name="Line 1522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4" name="Line 1523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5" name="Line 1524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6" name="Line 1525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7" name="Line 1526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8" name="Line 1527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29" name="Line 1528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0" name="Line 1529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1" name="Line 1530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2" name="Line 153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3" name="Line 1532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4" name="Line 1533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5" name="Line 1534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6" name="Line 1535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7" name="Line 1536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8" name="Line 1537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39" name="Line 1538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0" name="Line 1539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1" name="Line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2" name="Line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3" name="Line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4" name="Line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5" name="Line 1544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6" name="Line 1545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7" name="Line 1546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8" name="Line 1547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49" name="Line 1548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0" name="Line 1549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1" name="Line 1550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2" name="Line 155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3" name="Line 1552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4" name="Line 1553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5" name="Line 1554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6" name="Line 1555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7" name="Line 1556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8" name="Line 1557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59" name="Line 1558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0" name="Line 1559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1" name="Line 1560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2" name="Line 156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3" name="Line 1562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4" name="Line 1563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5" name="Line 1564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6" name="Line 1565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7" name="Line 1566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8" name="Line 1567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69" name="Line 1568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0" name="Line 1569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1" name="Line 1570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2" name="Line 157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3" name="Line 1572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4" name="Line 1573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5" name="Line 1574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6" name="Line 1575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7" name="Line 1576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8" name="Line 1577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79" name="Line 1578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0" name="Line 1579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1" name="Line 1580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2" name="Line 158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3" name="Line 1582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4" name="Line 1583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5" name="Line 1584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6" name="Line 1585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7" name="Line 1586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8" name="Line 1587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89" name="Line 1588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0" name="Line 1589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1" name="Line 1590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2" name="Line 159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3" name="Line 1592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4" name="Line 1593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5" name="Line 1594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6" name="Line 1595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7" name="Line 1596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8" name="Line 1597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599" name="Line 1598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0" name="Line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1" name="Line 1600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2" name="Lin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3" name="Lin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4" name="Line 1603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5" name="Line 1604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6" name="Line 1605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7" name="Line 1606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8" name="Line 1607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09" name="Line 1608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0" name="Line 1609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1" name="Line 1610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2" name="Line 161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3" name="Line 1612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4" name="Line 1613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5" name="Line 1614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6" name="Lin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7" name="Lin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8" name="Lin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19" name="Line 1618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0" name="Lin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1" name="Lin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2" name="Line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3" name="Line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4" name="Line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5" name="Line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6" name="Lin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7" name="Lin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8" name="Lin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29" name="Lin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0" name="Lin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1" name="Lin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2" name="Lin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3" name="Lin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4" name="Line 1633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5" name="Line 1634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6" name="Lin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7" name="Lin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8" name="Lin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39" name="Line 1638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0" name="Lin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1" name="Line 1640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2" name="Lin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3" name="Line 1642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4" name="Lin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5" name="Lin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6" name="Line 1645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7" name="Line 1646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8" name="Line 1647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49" name="Line 1648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0" name="Line 1649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1" name="Line 1650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2" name="Lin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3" name="Line 1652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4" name="Line 1653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5" name="Line 1654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6" name="Line 1655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7" name="Line 1656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8" name="Line 1657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59" name="Line 1658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0" name="Line 1659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1" name="Line 1660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2" name="Line 166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3" name="Line 1662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4" name="Line 1663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5" name="Lin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6" name="Line 1665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7" name="Line 1666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8" name="Line 1667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69" name="Lin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0" name="Line 1669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1" name="Line 1670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2" name="Line 167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3" name="Line 1672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4" name="Lin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5" name="Line 1674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6" name="Line 1675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7" name="Line 1676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8" name="Line 1677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79" name="Lin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0" name="Lin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1" name="Lin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2" name="Line 168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3" name="Line 1682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4" name="Lin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5" name="Lin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6" name="Lin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7" name="Line 1686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8" name="Line 1687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89" name="Lin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0" name="Lin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1" name="Lin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2" name="Lin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3" name="Line 1692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4" name="Line 1693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5" name="Line 1694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6" name="Lin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7" name="Lin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8" name="Lin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699" name="Line 1698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0" name="Lin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1" name="Lin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2" name="Lin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3" name="Lin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4" name="Line 1703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5" name="Lin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6" name="Line 1705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7" name="Lin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8" name="Lin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09" name="Lin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0" name="Line 1709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1" name="Line 1710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2" name="Lin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3" name="Lin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4" name="Lin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5" name="Lin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6" name="Lin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7" name="Line 1716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8" name="Lin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19" name="Lin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0" name="Lin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1" name="Line 1720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2" name="Lin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3" name="Lin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4" name="Line 1723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5" name="Lin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6" name="Lin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7" name="Line 1726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8" name="Line 1727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29" name="Line 1728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0" name="Line 1729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1" name="Line 1730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2" name="Line 173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3" name="Line 1732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4" name="Line 1733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5" name="Line 1734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6" name="Line 1735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7" name="Line 1736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8" name="Line 1737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39" name="Line 1738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0" name="Line 1739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1" name="Line 1740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2" name="Line 174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3" name="Line 1742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4" name="Line 1743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5" name="Line 1744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6" name="Line 1745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7" name="Line 1746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8" name="Line 1747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49" name="Line 1748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0" name="Line 1749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1" name="Line 1750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2" name="Line 175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3" name="Line 1752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4" name="Line 1753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5" name="Line 1754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6" name="Line 1755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7" name="Line 1756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8" name="Line 1757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59" name="Line 1758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0" name="Lin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1" name="Line 1760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2" name="Line 176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3" name="Line 1762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4" name="Line 1763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5" name="Line 1764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6" name="Line 1765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7" name="Line 1766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8" name="Line 1767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69" name="Line 1768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0" name="Line 1769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1" name="Line 1770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2" name="Line 177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3" name="Line 1772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4" name="Line 1773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5" name="Line 1774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6" name="Line 1775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7" name="Line 1776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8" name="Line 1777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79" name="Line 1778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0" name="Line 1779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1" name="Line 1780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2" name="Line 178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3" name="Line 1782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4" name="Line 1783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5" name="Line 1784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6" name="Line 1785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7" name="Line 1786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8" name="Line 1787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89" name="Line 1788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0" name="Line 1789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1" name="Line 1790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2" name="Line 179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3" name="Line 1792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4" name="Line 1793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5" name="Line 1794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6" name="Line 1795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7" name="Line 1796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8" name="Line 1797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799" name="Line 1798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0" name="Line 1799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1" name="Line 1800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2" name="Line 180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3" name="Line 1802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4" name="Line 1803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5" name="Line 1804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6" name="Line 1805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7" name="Line 1806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8" name="Line 1807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09" name="Line 1808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0" name="Line 1809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1" name="Line 1810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2" name="Line 181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3" name="Line 1812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4" name="Line 1813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5" name="Line 1814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6" name="Line 1815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7" name="Line 1816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8" name="Line 1817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19" name="Line 1818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0" name="Line 1819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1" name="Line 1820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2" name="Line 182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3" name="Line 1822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4" name="Line 1823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5" name="Line 1824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6" name="Line 1825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7" name="Line 1826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8" name="Line 1827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29" name="Line 1828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0" name="Line 1829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1" name="Line 1830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2" name="Line 183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3" name="Line 1832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4" name="Line 1833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5" name="Line 1834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6" name="Line 1835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7" name="Line 1836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8" name="Line 1837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39" name="Line 1838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0" name="Line 1839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1" name="Line 1840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2" name="Line 184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3" name="Line 1842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4" name="Line 1843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5" name="Line 1844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6" name="Line 1845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7" name="Line 1846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8" name="Line 1847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49" name="Line 1848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0" name="Line 1849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1" name="Line 1850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2" name="Line 1851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3" name="Line 1852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4" name="Line 1853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5" name="Line 1854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6" name="Line 1855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7" name="Line 1856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8" name="Line 1857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59" name="Line 1858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0" name="Line 1859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1" name="Line 1860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2" name="Line 1861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3" name="Line 1862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4" name="Line 1863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5" name="Line 1864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6" name="Line 1865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7" name="Line 1866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8" name="Line 1867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69" name="Line 1868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0" name="Line 1869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1" name="Line 1870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2" name="Line 1871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3" name="Line 1872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4" name="Line 1873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5" name="Line 1874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6" name="Line 1875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7" name="Line 1876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8" name="Line 1877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79" name="Line 1878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0" name="Line 1879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1" name="Line 1880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2" name="Line 1881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3" name="Line 1882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4" name="Line 1883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5" name="Line 1884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6" name="Line 1885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7" name="Line 1886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8" name="Line 1887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89" name="Line 1888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0" name="Line 1889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1" name="Line 1890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2" name="Line 1891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3" name="Line 1892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4" name="Line 1893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5" name="Line 1894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6" name="Line 1895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7" name="Line 1896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8" name="Line 1897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899" name="Line 1898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0" name="Line 1899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1" name="Line 1900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2" name="Line 1901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3" name="Line 1902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4" name="Line 1903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5" name="Line 1904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6" name="Line 1905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7" name="Line 1906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8" name="Line 1907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09" name="Line 1908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0" name="Line 1909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1" name="Line 1910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2" name="Line 1911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3" name="Line 1912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4" name="Line 1913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5" name="Line 1914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6" name="Line 1915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7" name="Line 1916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8" name="Line 1917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19" name="Line 1918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0" name="Line 1919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1" name="Line 1920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2" name="Line 1921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3" name="Line 1922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4" name="Line 1923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5" name="Line 1924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6" name="Line 1925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243</xdr:row>
      <xdr:rowOff>9525</xdr:rowOff>
    </xdr:from>
    <xdr:to>
      <xdr:col>11</xdr:col>
      <xdr:colOff>0</xdr:colOff>
      <xdr:row>243</xdr:row>
      <xdr:rowOff>9525</xdr:rowOff>
    </xdr:to>
    <xdr:sp macro="" textlink="">
      <xdr:nvSpPr>
        <xdr:cNvPr id="1927" name="Line 1926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>
          <a:spLocks noChangeShapeType="1"/>
        </xdr:cNvSpPr>
      </xdr:nvSpPr>
      <xdr:spPr bwMode="auto">
        <a:xfrm>
          <a:off x="9286875" y="47272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28" name="Line 1927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29" name="Line 1928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0" name="Line 1929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1" name="Line 1930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2" name="Line 1931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3" name="Line 1932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4" name="Line 1933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5" name="Line 1934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6" name="Line 1935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7" name="Line 1936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8" name="Line 1937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39" name="Line 1938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0" name="Line 1939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1" name="Line 1940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2" name="Line 1941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3" name="Line 1942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4" name="Line 1943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5" name="Line 1944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6" name="Line 1945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7" name="Line 1946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8" name="Line 1947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49" name="Line 1948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0" name="Line 1949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1" name="Line 1950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2" name="Line 1951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3" name="Line 1952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4" name="Line 1953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5" name="Line 1954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6" name="Line 1955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7" name="Line 1956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8" name="Line 1957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59" name="Line 1958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0" name="Line 1959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1" name="Line 1960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2" name="Line 1961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3" name="Line 1962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4" name="Line 1963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5" name="Line 1964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6" name="Line 1965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7" name="Line 1966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8" name="Line 1967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69" name="Line 1968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0" name="Line 1969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1" name="Line 1970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2" name="Line 197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3" name="Line 1972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4" name="Line 1973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5" name="Line 1974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6" name="Line 1975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7" name="Line 1976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8" name="Line 1977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79" name="Line 1978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0" name="Line 1979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1" name="Line 1980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2" name="Line 1981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3" name="Line 1982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4" name="Line 1983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5" name="Line 1984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6" name="Line 1985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7" name="Line 1986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8" name="Line 1987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89" name="Line 1988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0" name="Line 1989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1" name="Line 1990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2" name="Line 1991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3" name="Line 1992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4" name="Line 1993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5" name="Line 1994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6" name="Line 1995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7" name="Line 1996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8" name="Line 1997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1999" name="Line 1998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0" name="Line 1999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1" name="Line 2000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2" name="Line 2001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3" name="Line 2002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4" name="Line 2003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5" name="Line 2004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6" name="Line 2005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7" name="Line 2006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8" name="Line 2007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09" name="Line 2008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0" name="Line 2009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1" name="Line 2010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2" name="Line 2011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3" name="Line 2012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4" name="Line 2013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5" name="Line 2014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6" name="Line 2015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7" name="Line 2016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8" name="Line 2017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19" name="Line 2018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0" name="Line 2019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1" name="Line 2020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2" name="Line 2021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3" name="Line 2022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4" name="Line 2023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5" name="Line 2024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6" name="Line 2025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7" name="Line 2026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8" name="Line 2027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29" name="Line 2028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0" name="Line 2029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1" name="Line 2030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2" name="Line 2031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3" name="Line 2032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4" name="Line 2033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5" name="Line 2034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6" name="Line 2035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7" name="Line 2036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8" name="Line 2037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39" name="Line 2038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0" name="Line 2039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1" name="Line 2040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2" name="Line 2041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3" name="Line 2042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4" name="Line 2043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5" name="Line 2044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6" name="Line 2045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7" name="Line 2046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8" name="Line 2047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49" name="Line 2048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0" name="Line 2049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1" name="Line 2050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2" name="Line 2051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3" name="Line 2052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4" name="Line 2053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5" name="Line 2054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6" name="Line 2055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7" name="Line 2056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8" name="Line 2057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59" name="Line 2058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0" name="Line 2059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1" name="Line 2060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2" name="Line 2061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3" name="Line 2062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4" name="Line 2063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5" name="Line 2064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6" name="Line 2065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7" name="Line 2066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8" name="Line 2067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69" name="Line 2068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0" name="Line 2069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1" name="Line 2070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2" name="Line 2071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3" name="Line 2072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4" name="Line 2073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5" name="Line 2074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6" name="Line 2075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7" name="Line 2076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8" name="Line 2077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79" name="Line 2078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0" name="Line 2079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1" name="Line 2080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2" name="Line 2081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3" name="Line 2082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4" name="Line 2083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5" name="Line 2084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6" name="Line 2085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7" name="Line 2086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8" name="Line 2087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89" name="Line 2088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0" name="Line 2089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1" name="Line 2090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2" name="Line 2091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3" name="Line 2092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4" name="Line 2093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5" name="Line 2094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6" name="Line 2095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7" name="Line 2096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8" name="Line 2097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099" name="Line 2098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0" name="Line 2099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1" name="Line 2100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2" name="Line 2101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3" name="Line 2102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4" name="Line 2103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5" name="Line 2104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6" name="Line 2105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7" name="Line 2106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8" name="Line 2107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09" name="Line 2108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0" name="Line 2109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1" name="Line 2110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2" name="Line 2111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3" name="Line 2112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4" name="Line 211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5" name="Line 2114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6" name="Line 2115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7" name="Line 2116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8" name="Line 2117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19" name="Line 2118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0" name="Line 2119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1" name="Line 2120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2" name="Line 2121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3" name="Line 2122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4" name="Line 2123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5" name="Line 2124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6" name="Line 2125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7" name="Line 2126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8" name="Line 2127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29" name="Line 2128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0" name="Line 2129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1" name="Line 2130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2" name="Line 2131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3" name="Line 2132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4" name="Line 2133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5" name="Line 2134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6" name="Line 2135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7" name="Line 2136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8" name="Line 2137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39" name="Line 2138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0" name="Line 2139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1" name="Line 2140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2" name="Line 2141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3" name="Line 2142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4" name="Line 2143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5" name="Line 2144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6" name="Line 2145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7" name="Line 2146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8" name="Line 2147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314</xdr:row>
      <xdr:rowOff>9525</xdr:rowOff>
    </xdr:from>
    <xdr:to>
      <xdr:col>11</xdr:col>
      <xdr:colOff>0</xdr:colOff>
      <xdr:row>314</xdr:row>
      <xdr:rowOff>9525</xdr:rowOff>
    </xdr:to>
    <xdr:sp macro="" textlink="">
      <xdr:nvSpPr>
        <xdr:cNvPr id="2149" name="Line 2148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>
          <a:spLocks noChangeShapeType="1"/>
        </xdr:cNvSpPr>
      </xdr:nvSpPr>
      <xdr:spPr bwMode="auto">
        <a:xfrm>
          <a:off x="9286875" y="6079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161925</xdr:rowOff>
    </xdr:from>
    <xdr:to>
      <xdr:col>8</xdr:col>
      <xdr:colOff>774699</xdr:colOff>
      <xdr:row>4</xdr:row>
      <xdr:rowOff>17001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476C7F53-C0CD-4A09-B170-62573819E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161925"/>
          <a:ext cx="2079624" cy="645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73138</xdr:colOff>
      <xdr:row>29</xdr:row>
      <xdr:rowOff>61725</xdr:rowOff>
    </xdr:from>
    <xdr:to>
      <xdr:col>2</xdr:col>
      <xdr:colOff>1464469</xdr:colOff>
      <xdr:row>36</xdr:row>
      <xdr:rowOff>178100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BD6FE2-F715-4189-A812-24EC4873A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542" r="100000">
                      <a14:backgroundMark x1="35560" y1="40899" x2="35560" y2="40899"/>
                      <a14:backgroundMark x1="44765" y1="84270" x2="44765" y2="84270"/>
                      <a14:backgroundMark x1="40072" y1="27640" x2="40072" y2="27640"/>
                      <a14:backgroundMark x1="51444" y1="79551" x2="51444" y2="79551"/>
                      <a14:backgroundMark x1="19675" y1="14607" x2="19675" y2="14607"/>
                      <a14:backgroundMark x1="60650" y1="14607" x2="60650" y2="14607"/>
                      <a14:backgroundMark x1="59025" y1="53258" x2="59025" y2="53258"/>
                      <a14:backgroundMark x1="43863" y1="55955" x2="43863" y2="55955"/>
                      <a14:backgroundMark x1="27256" y1="54157" x2="27256" y2="54157"/>
                      <a14:backgroundMark x1="10830" y1="45393" x2="10830" y2="45393"/>
                      <a14:backgroundMark x1="57942" y1="25169" x2="57942" y2="25169"/>
                      <a14:backgroundMark x1="53791" y1="17978" x2="53791" y2="17978"/>
                      <a14:backgroundMark x1="48014" y1="17303" x2="48014" y2="17303"/>
                      <a14:backgroundMark x1="43321" y1="17303" x2="43321" y2="17303"/>
                      <a14:backgroundMark x1="22383" y1="72584" x2="22383" y2="72584"/>
                      <a14:backgroundMark x1="13357" y1="68764" x2="13357" y2="68764"/>
                      <a14:backgroundMark x1="33755" y1="82921" x2="33755" y2="82921"/>
                      <a14:backgroundMark x1="50542" y1="60225" x2="50542" y2="60225"/>
                      <a14:backgroundMark x1="57401" y1="3820" x2="57401" y2="3820"/>
                    </a14:backgroundRemoval>
                  </a14:imgEffect>
                  <a14:imgEffect>
                    <a14:sharpenSoften amount="74000"/>
                  </a14:imgEffect>
                  <a14:imgEffect>
                    <a14:brightnessContrast bright="-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7438" y="5967225"/>
          <a:ext cx="1772331" cy="1449875"/>
        </a:xfrm>
        <a:prstGeom prst="rect">
          <a:avLst/>
        </a:prstGeom>
      </xdr:spPr>
    </xdr:pic>
    <xdr:clientData fLocksWithSheet="0"/>
  </xdr:twoCellAnchor>
  <xdr:twoCellAnchor>
    <xdr:from>
      <xdr:col>1</xdr:col>
      <xdr:colOff>258536</xdr:colOff>
      <xdr:row>0</xdr:row>
      <xdr:rowOff>122464</xdr:rowOff>
    </xdr:from>
    <xdr:to>
      <xdr:col>2</xdr:col>
      <xdr:colOff>1144362</xdr:colOff>
      <xdr:row>4</xdr:row>
      <xdr:rowOff>77161</xdr:rowOff>
    </xdr:to>
    <xdr:pic>
      <xdr:nvPicPr>
        <xdr:cNvPr id="3" name="Picture 53">
          <a:extLst>
            <a:ext uri="{FF2B5EF4-FFF2-40B4-BE49-F238E27FC236}">
              <a16:creationId xmlns:a16="http://schemas.microsoft.com/office/drawing/2014/main" id="{6C811389-3A21-429B-BAE8-B6BA55260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9219"/>
        <a:stretch>
          <a:fillRect/>
        </a:stretch>
      </xdr:blipFill>
      <xdr:spPr bwMode="auto">
        <a:xfrm>
          <a:off x="372836" y="122464"/>
          <a:ext cx="1266826" cy="7452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830036</xdr:colOff>
      <xdr:row>0</xdr:row>
      <xdr:rowOff>149679</xdr:rowOff>
    </xdr:from>
    <xdr:to>
      <xdr:col>13</xdr:col>
      <xdr:colOff>69555</xdr:colOff>
      <xdr:row>4</xdr:row>
      <xdr:rowOff>73102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A73D88ED-BD46-496E-97E0-042F2CB1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9886" y="149679"/>
          <a:ext cx="1925569" cy="6854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&#225;lisis%20Cttos%20Plantas/EPs_%20Tecnolog&#237;as%20del%20Sur_45015328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S5200007/Desktop/EDP%2046000024153/EDP%2002/ODS%20004/4600024153-004-00000-EPGP-0001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EOSUPPORT/$ADMINISTRACION%20CONTRATO/$DAND/05%20Estado%20de%20Pago/EP%2007%20Octubre%202018/ODS%20001/4600016256-001-8114-EP-TP-00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Itemizado"/>
      <sheetName val="Avances Acumulados"/>
      <sheetName val="Retenciones"/>
      <sheetName val="Resumen General"/>
      <sheetName val="Reajustes"/>
      <sheetName val="Flujo_Pagos"/>
      <sheetName val="BD"/>
      <sheetName val="Avances_Acumulados"/>
      <sheetName val="Resumen_General"/>
    </sheetNames>
    <sheetDataSet>
      <sheetData sheetId="0"/>
      <sheetData sheetId="1"/>
      <sheetData sheetId="2"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A12">
            <v>1</v>
          </cell>
          <cell r="B12" t="str">
            <v>Soporte Sistema de Control Plataforma EX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A13" t="str">
            <v>1.1</v>
          </cell>
          <cell r="B13" t="str">
            <v>Soporte a Operaciones 24x7</v>
          </cell>
          <cell r="C13" t="str">
            <v>Mes</v>
          </cell>
          <cell r="D13">
            <v>7</v>
          </cell>
          <cell r="E13">
            <v>35121226</v>
          </cell>
          <cell r="F13">
            <v>245848582</v>
          </cell>
          <cell r="G13">
            <v>0.67</v>
          </cell>
          <cell r="H13">
            <v>1.67</v>
          </cell>
          <cell r="I13">
            <v>2.67</v>
          </cell>
          <cell r="J13">
            <v>3.67</v>
          </cell>
          <cell r="K13">
            <v>4.67</v>
          </cell>
          <cell r="L13">
            <v>5.67</v>
          </cell>
          <cell r="M13">
            <v>6.67</v>
          </cell>
          <cell r="N13">
            <v>6.67</v>
          </cell>
          <cell r="O13">
            <v>6.67</v>
          </cell>
          <cell r="P13">
            <v>6.67</v>
          </cell>
          <cell r="Q13">
            <v>6.67</v>
          </cell>
          <cell r="R13">
            <v>6.67</v>
          </cell>
          <cell r="S13">
            <v>6.67</v>
          </cell>
          <cell r="T13">
            <v>6.67</v>
          </cell>
          <cell r="U13">
            <v>6.67</v>
          </cell>
          <cell r="V13">
            <v>6.67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A14" t="str">
            <v>1.2</v>
          </cell>
          <cell r="B14" t="str">
            <v>Soporte de Apoyo Ingeniería del Sistema</v>
          </cell>
          <cell r="C14" t="str">
            <v>Mes</v>
          </cell>
          <cell r="D14">
            <v>7</v>
          </cell>
          <cell r="E14">
            <v>24817489</v>
          </cell>
          <cell r="F14">
            <v>173722423</v>
          </cell>
          <cell r="G14">
            <v>0.67</v>
          </cell>
          <cell r="H14">
            <v>1.67</v>
          </cell>
          <cell r="I14">
            <v>2.67</v>
          </cell>
          <cell r="J14">
            <v>3.67</v>
          </cell>
          <cell r="K14">
            <v>4.67</v>
          </cell>
          <cell r="L14">
            <v>5.67</v>
          </cell>
          <cell r="M14">
            <v>6.67</v>
          </cell>
          <cell r="N14">
            <v>6.67</v>
          </cell>
          <cell r="O14">
            <v>6.67</v>
          </cell>
          <cell r="P14">
            <v>6.67</v>
          </cell>
          <cell r="Q14">
            <v>6.67</v>
          </cell>
          <cell r="R14">
            <v>6.67</v>
          </cell>
          <cell r="S14">
            <v>6.67</v>
          </cell>
          <cell r="T14">
            <v>6.67</v>
          </cell>
          <cell r="U14">
            <v>6.67</v>
          </cell>
          <cell r="V14">
            <v>6.67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A16">
            <v>2</v>
          </cell>
          <cell r="B16" t="str">
            <v>Condiciones laborales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A17" t="str">
            <v>2.1</v>
          </cell>
          <cell r="B17" t="str">
            <v>Indemnización por tiempo servido</v>
          </cell>
          <cell r="C17" t="str">
            <v>GL</v>
          </cell>
          <cell r="D17">
            <v>37177735</v>
          </cell>
          <cell r="E17">
            <v>1</v>
          </cell>
          <cell r="F17">
            <v>37177735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18" t="str">
            <v>2.2</v>
          </cell>
          <cell r="B18" t="str">
            <v>Incentivo de Asistencia Cuatrimestral</v>
          </cell>
          <cell r="C18" t="str">
            <v>GL</v>
          </cell>
          <cell r="D18">
            <v>20599968</v>
          </cell>
          <cell r="E18">
            <v>1</v>
          </cell>
          <cell r="F18">
            <v>20599968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156750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A19" t="str">
            <v>2.3</v>
          </cell>
          <cell r="B19" t="str">
            <v>Seguro Complementario de Salud</v>
          </cell>
          <cell r="C19" t="str">
            <v>GL</v>
          </cell>
          <cell r="D19">
            <v>3072000</v>
          </cell>
          <cell r="E19">
            <v>1</v>
          </cell>
          <cell r="F19">
            <v>3072000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A20">
            <v>3</v>
          </cell>
          <cell r="B20" t="str">
            <v>Orden de Cambio N° 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A21" t="str">
            <v>3.1</v>
          </cell>
          <cell r="B21" t="str">
            <v>OC: 1 Soporte a Operaciones 24 x 7</v>
          </cell>
          <cell r="C21" t="str">
            <v>Mes</v>
          </cell>
          <cell r="D21">
            <v>17</v>
          </cell>
          <cell r="E21">
            <v>33848110</v>
          </cell>
          <cell r="F21">
            <v>575417870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3</v>
          </cell>
          <cell r="Q21">
            <v>4</v>
          </cell>
          <cell r="R21">
            <v>5</v>
          </cell>
          <cell r="S21">
            <v>6</v>
          </cell>
          <cell r="T21">
            <v>7</v>
          </cell>
          <cell r="U21">
            <v>8</v>
          </cell>
          <cell r="V21">
            <v>8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A22" t="str">
            <v>3.2</v>
          </cell>
          <cell r="B22" t="str">
            <v>OC: 1 Soporte de Apoyo Ingeniería del Sistema</v>
          </cell>
          <cell r="C22" t="str">
            <v>Mes</v>
          </cell>
          <cell r="D22">
            <v>17</v>
          </cell>
          <cell r="E22">
            <v>23544372</v>
          </cell>
          <cell r="F22">
            <v>400254324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1</v>
          </cell>
          <cell r="O22">
            <v>2</v>
          </cell>
          <cell r="P22">
            <v>3</v>
          </cell>
          <cell r="Q22">
            <v>4</v>
          </cell>
          <cell r="R22">
            <v>5</v>
          </cell>
          <cell r="S22">
            <v>6</v>
          </cell>
          <cell r="T22">
            <v>7</v>
          </cell>
          <cell r="U22">
            <v>8</v>
          </cell>
          <cell r="V22">
            <v>8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A49">
            <v>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A64">
            <v>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A66">
            <v>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A67">
            <v>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</sheetData>
      <sheetData sheetId="3">
        <row r="4">
          <cell r="A4">
            <v>1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>
            <v>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>
            <v>3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>
            <v>4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>
            <v>5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>
            <v>6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A10">
            <v>7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>
            <v>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A12">
            <v>9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>
            <v>10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>
            <v>11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>
            <v>12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>
            <v>13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>
            <v>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15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16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17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19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>
            <v>20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>
            <v>21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A25">
            <v>22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23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24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25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26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27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>
            <v>28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A32">
            <v>29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A33">
            <v>30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>
            <v>31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>
            <v>32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>
            <v>33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>
            <v>34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>
            <v>35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>
            <v>36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A40">
            <v>37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A41">
            <v>38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>
            <v>39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>
            <v>40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>
            <v>41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42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43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44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45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46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>
            <v>47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48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>
            <v>49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50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51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52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53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54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>
            <v>55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>
            <v>56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</row>
        <row r="60">
          <cell r="A60">
            <v>57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>
            <v>58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>
            <v>59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A63">
            <v>60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A64">
            <v>61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>
            <v>62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>
            <v>63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A67">
            <v>64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>
            <v>65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>
            <v>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</sheetData>
      <sheetData sheetId="4"/>
      <sheetData sheetId="5">
        <row r="5">
          <cell r="N5" t="str">
            <v>EP N°</v>
          </cell>
          <cell r="O5" t="str">
            <v>EP</v>
          </cell>
          <cell r="P5" t="str">
            <v>Monto Neto</v>
          </cell>
          <cell r="Q5" t="str">
            <v>Afecto a Reaj</v>
          </cell>
          <cell r="R5" t="str">
            <v>Reajustes</v>
          </cell>
          <cell r="S5" t="str">
            <v>Acumulados</v>
          </cell>
        </row>
        <row r="6">
          <cell r="N6">
            <v>1</v>
          </cell>
          <cell r="O6">
            <v>41609</v>
          </cell>
          <cell r="P6">
            <v>40158939</v>
          </cell>
          <cell r="Q6">
            <v>0</v>
          </cell>
          <cell r="R6">
            <v>0</v>
          </cell>
          <cell r="S6">
            <v>0</v>
          </cell>
        </row>
        <row r="7">
          <cell r="N7">
            <v>2</v>
          </cell>
          <cell r="O7">
            <v>41640</v>
          </cell>
          <cell r="P7">
            <v>59938715</v>
          </cell>
          <cell r="Q7">
            <v>0</v>
          </cell>
          <cell r="R7">
            <v>0</v>
          </cell>
          <cell r="S7">
            <v>0</v>
          </cell>
        </row>
        <row r="8">
          <cell r="N8">
            <v>3</v>
          </cell>
          <cell r="O8">
            <v>41671</v>
          </cell>
          <cell r="P8">
            <v>59938715</v>
          </cell>
          <cell r="Q8">
            <v>0</v>
          </cell>
          <cell r="R8">
            <v>0</v>
          </cell>
          <cell r="S8">
            <v>0</v>
          </cell>
        </row>
        <row r="9">
          <cell r="N9">
            <v>4</v>
          </cell>
          <cell r="O9">
            <v>41699</v>
          </cell>
          <cell r="P9">
            <v>59938715</v>
          </cell>
          <cell r="Q9">
            <v>0</v>
          </cell>
          <cell r="R9">
            <v>0</v>
          </cell>
          <cell r="S9">
            <v>0</v>
          </cell>
        </row>
        <row r="10">
          <cell r="N10">
            <v>5</v>
          </cell>
          <cell r="O10">
            <v>41730</v>
          </cell>
          <cell r="P10">
            <v>59938715</v>
          </cell>
          <cell r="Q10">
            <v>0</v>
          </cell>
          <cell r="R10">
            <v>0</v>
          </cell>
          <cell r="S10">
            <v>0</v>
          </cell>
        </row>
        <row r="11">
          <cell r="N11">
            <v>6</v>
          </cell>
          <cell r="O11">
            <v>41760</v>
          </cell>
          <cell r="P11">
            <v>59938715</v>
          </cell>
          <cell r="Q11">
            <v>0</v>
          </cell>
          <cell r="R11">
            <v>0</v>
          </cell>
          <cell r="S11">
            <v>0</v>
          </cell>
        </row>
        <row r="12">
          <cell r="N12">
            <v>7</v>
          </cell>
          <cell r="O12">
            <v>41791</v>
          </cell>
          <cell r="P12">
            <v>59938715</v>
          </cell>
          <cell r="Q12">
            <v>59938715</v>
          </cell>
          <cell r="R12">
            <v>2381365</v>
          </cell>
          <cell r="S12">
            <v>2381365</v>
          </cell>
        </row>
        <row r="13">
          <cell r="N13">
            <v>8</v>
          </cell>
          <cell r="O13">
            <v>41821</v>
          </cell>
          <cell r="P13">
            <v>57392482</v>
          </cell>
          <cell r="Q13">
            <v>57392482</v>
          </cell>
          <cell r="R13">
            <v>2280203.1691525253</v>
          </cell>
          <cell r="S13">
            <v>4661568.1691525253</v>
          </cell>
        </row>
        <row r="14">
          <cell r="N14">
            <v>9</v>
          </cell>
          <cell r="O14">
            <v>41852</v>
          </cell>
          <cell r="P14">
            <v>57392482</v>
          </cell>
          <cell r="Q14">
            <v>57392482</v>
          </cell>
          <cell r="R14">
            <v>2280203.1691525253</v>
          </cell>
          <cell r="S14">
            <v>6941771.3383050505</v>
          </cell>
        </row>
        <row r="15">
          <cell r="N15">
            <v>10</v>
          </cell>
          <cell r="O15">
            <v>41883</v>
          </cell>
          <cell r="P15">
            <v>57392482</v>
          </cell>
          <cell r="Q15">
            <v>57392482</v>
          </cell>
          <cell r="R15">
            <v>2280203.1691525253</v>
          </cell>
          <cell r="S15">
            <v>9221974.5074575767</v>
          </cell>
        </row>
        <row r="16">
          <cell r="N16">
            <v>11</v>
          </cell>
          <cell r="O16">
            <v>41913</v>
          </cell>
          <cell r="P16">
            <v>57392482</v>
          </cell>
          <cell r="Q16">
            <v>57392482</v>
          </cell>
          <cell r="R16">
            <v>2280203.1691525253</v>
          </cell>
          <cell r="S16">
            <v>11502177.676610101</v>
          </cell>
        </row>
        <row r="17">
          <cell r="N17">
            <v>12</v>
          </cell>
          <cell r="O17">
            <v>41944</v>
          </cell>
          <cell r="P17">
            <v>57392482</v>
          </cell>
          <cell r="Q17">
            <v>57392482</v>
          </cell>
          <cell r="R17">
            <v>2280203.1691525253</v>
          </cell>
          <cell r="S17">
            <v>13782380.845762625</v>
          </cell>
        </row>
        <row r="18">
          <cell r="N18">
            <v>13</v>
          </cell>
          <cell r="O18">
            <v>41974</v>
          </cell>
          <cell r="P18">
            <v>57392482</v>
          </cell>
          <cell r="Q18">
            <v>57392482</v>
          </cell>
          <cell r="R18">
            <v>3193318</v>
          </cell>
          <cell r="S18">
            <v>16975698.845762625</v>
          </cell>
        </row>
        <row r="19">
          <cell r="N19">
            <v>14</v>
          </cell>
          <cell r="O19">
            <v>42005</v>
          </cell>
          <cell r="P19">
            <v>57392482</v>
          </cell>
          <cell r="Q19">
            <v>57392482</v>
          </cell>
          <cell r="R19">
            <v>3193318</v>
          </cell>
          <cell r="S19">
            <v>20169016.845762625</v>
          </cell>
        </row>
        <row r="20">
          <cell r="N20">
            <v>15</v>
          </cell>
          <cell r="O20">
            <v>42036</v>
          </cell>
          <cell r="P20">
            <v>57392482</v>
          </cell>
          <cell r="Q20">
            <v>57392482</v>
          </cell>
          <cell r="R20">
            <v>3193318</v>
          </cell>
          <cell r="S20">
            <v>23362334.845762625</v>
          </cell>
        </row>
        <row r="21">
          <cell r="N21">
            <v>16</v>
          </cell>
          <cell r="O21">
            <v>42064</v>
          </cell>
          <cell r="P21">
            <v>156750</v>
          </cell>
          <cell r="Q21">
            <v>0</v>
          </cell>
          <cell r="R21">
            <v>0</v>
          </cell>
          <cell r="S21">
            <v>23362334.845762625</v>
          </cell>
        </row>
        <row r="22">
          <cell r="N22">
            <v>17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N23">
            <v>18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N24">
            <v>19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N25">
            <v>20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N26">
            <v>21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N27">
            <v>22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N28">
            <v>23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N29">
            <v>24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N30">
            <v>25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N31">
            <v>26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N32">
            <v>27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N33">
            <v>28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N34">
            <v>29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N35">
            <v>30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N36">
            <v>31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N37">
            <v>32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N38">
            <v>33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N39">
            <v>34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N40">
            <v>35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N41">
            <v>36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N42">
            <v>37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N43">
            <v>38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N44">
            <v>39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N45">
            <v>40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N46">
            <v>41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N47">
            <v>42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N48">
            <v>43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N49">
            <v>44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N50">
            <v>45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N51">
            <v>46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N52">
            <v>47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N53">
            <v>48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N54">
            <v>49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N55">
            <v>50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N56">
            <v>51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N57">
            <v>52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N58">
            <v>53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N59">
            <v>54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</sheetData>
      <sheetData sheetId="6"/>
      <sheetData sheetId="7"/>
      <sheetData sheetId="8">
        <row r="8">
          <cell r="A8">
            <v>0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CARATULA EP "/>
      <sheetName val="EDP 001"/>
      <sheetName val="EDP 002"/>
      <sheetName val="Asistencia y Calendario"/>
      <sheetName val="Entregables"/>
      <sheetName val="Cuadro Control"/>
    </sheetNames>
    <sheetDataSet>
      <sheetData sheetId="0"/>
      <sheetData sheetId="1"/>
      <sheetData sheetId="2">
        <row r="39">
          <cell r="N39">
            <v>0</v>
          </cell>
        </row>
        <row r="40">
          <cell r="N40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Carátula"/>
      <sheetName val="EP 001"/>
      <sheetName val="EP 002"/>
      <sheetName val="EP 003"/>
      <sheetName val="EP 004"/>
      <sheetName val="EP005"/>
      <sheetName val="EP006"/>
      <sheetName val="EP007"/>
      <sheetName val="Entregables_007"/>
      <sheetName val="Detalle HH y Dias"/>
      <sheetName val="Proyeccion"/>
      <sheetName val="NOC1"/>
      <sheetName val="NOC2"/>
      <sheetName val="NOC3"/>
      <sheetName val="EP"/>
    </sheetNames>
    <sheetDataSet>
      <sheetData sheetId="0" refreshError="1"/>
      <sheetData sheetId="1" refreshError="1"/>
      <sheetData sheetId="2" refreshError="1">
        <row r="29">
          <cell r="M29">
            <v>0</v>
          </cell>
        </row>
        <row r="33">
          <cell r="O3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L44"/>
  <sheetViews>
    <sheetView view="pageBreakPreview" zoomScale="85" zoomScaleNormal="100" zoomScaleSheetLayoutView="85" workbookViewId="0">
      <selection activeCell="H30" sqref="H30"/>
    </sheetView>
  </sheetViews>
  <sheetFormatPr baseColWidth="10" defaultRowHeight="14.4"/>
  <cols>
    <col min="1" max="3" width="1.6640625" style="180" customWidth="1"/>
    <col min="4" max="7" width="13.6640625" style="180" customWidth="1"/>
    <col min="8" max="8" width="14.88671875" style="180" customWidth="1"/>
    <col min="9" max="9" width="13.6640625" style="180" customWidth="1"/>
    <col min="10" max="10" width="17.6640625" style="180" customWidth="1"/>
    <col min="11" max="11" width="1.6640625" style="180" customWidth="1"/>
    <col min="12" max="12" width="2.6640625" style="180" customWidth="1"/>
  </cols>
  <sheetData>
    <row r="2" spans="1:12">
      <c r="B2" s="181"/>
      <c r="C2" s="182"/>
      <c r="D2" s="183"/>
      <c r="E2" s="184"/>
      <c r="F2" s="184"/>
      <c r="G2" s="184"/>
      <c r="H2" s="184"/>
      <c r="I2" s="184"/>
      <c r="J2" s="184"/>
      <c r="K2" s="185"/>
    </row>
    <row r="3" spans="1:12">
      <c r="B3" s="186"/>
      <c r="C3" s="187"/>
      <c r="D3" s="188"/>
      <c r="K3" s="189"/>
    </row>
    <row r="4" spans="1:12">
      <c r="B4" s="186"/>
      <c r="C4" s="190"/>
      <c r="K4" s="189"/>
    </row>
    <row r="5" spans="1:12">
      <c r="B5" s="186"/>
      <c r="C5" s="190"/>
      <c r="K5" s="189"/>
    </row>
    <row r="6" spans="1:12" ht="17.399999999999999">
      <c r="A6" s="191"/>
      <c r="B6" s="186"/>
      <c r="C6" s="192"/>
      <c r="D6" s="192"/>
      <c r="E6" s="192"/>
      <c r="F6" s="192"/>
      <c r="G6" s="192"/>
      <c r="H6" s="192"/>
      <c r="I6" s="192"/>
      <c r="J6" s="192"/>
      <c r="K6" s="189"/>
    </row>
    <row r="7" spans="1:12" ht="17.399999999999999">
      <c r="A7" s="191"/>
      <c r="B7" s="186"/>
      <c r="C7" s="192"/>
      <c r="D7" s="192"/>
      <c r="E7" s="192"/>
      <c r="F7" s="192"/>
      <c r="G7" s="192"/>
      <c r="H7" s="192"/>
      <c r="I7" s="192"/>
      <c r="J7" s="192"/>
      <c r="K7" s="189"/>
    </row>
    <row r="8" spans="1:12" ht="17.399999999999999">
      <c r="A8" s="191"/>
      <c r="B8" s="186"/>
      <c r="C8" s="193"/>
      <c r="D8" s="193"/>
      <c r="E8" s="193"/>
      <c r="F8" s="193"/>
      <c r="G8" s="193"/>
      <c r="H8" s="193"/>
      <c r="I8" s="193"/>
      <c r="J8" s="193"/>
      <c r="K8" s="189"/>
    </row>
    <row r="9" spans="1:12" ht="17.399999999999999">
      <c r="A9" s="191"/>
      <c r="B9" s="186"/>
      <c r="C9" s="193"/>
      <c r="D9" s="193"/>
      <c r="E9" s="193"/>
      <c r="F9" s="193"/>
      <c r="G9" s="193"/>
      <c r="H9" s="193"/>
      <c r="I9" s="193"/>
      <c r="J9" s="193"/>
      <c r="K9" s="189"/>
    </row>
    <row r="10" spans="1:12" ht="76.5" customHeight="1">
      <c r="A10" s="191"/>
      <c r="B10" s="186"/>
      <c r="C10" s="193"/>
      <c r="D10" s="193"/>
      <c r="E10" s="381" t="s">
        <v>184</v>
      </c>
      <c r="F10" s="381"/>
      <c r="G10" s="381"/>
      <c r="H10" s="381"/>
      <c r="I10" s="381"/>
      <c r="J10" s="193"/>
      <c r="K10" s="189"/>
    </row>
    <row r="11" spans="1:12" ht="23.4">
      <c r="A11" s="191"/>
      <c r="B11" s="186"/>
      <c r="C11" s="193"/>
      <c r="D11" s="193"/>
      <c r="E11" s="382" t="s">
        <v>185</v>
      </c>
      <c r="F11" s="382"/>
      <c r="G11" s="382"/>
      <c r="H11" s="382"/>
      <c r="I11" s="382"/>
      <c r="J11" s="193"/>
      <c r="K11" s="189"/>
    </row>
    <row r="12" spans="1:12" ht="23.4">
      <c r="A12" s="191"/>
      <c r="B12" s="194"/>
      <c r="C12" s="191"/>
      <c r="D12" s="191"/>
      <c r="E12" s="382"/>
      <c r="F12" s="382"/>
      <c r="G12" s="382"/>
      <c r="H12" s="382"/>
      <c r="I12" s="382"/>
      <c r="J12" s="191"/>
      <c r="K12" s="189"/>
      <c r="L12" s="195"/>
    </row>
    <row r="13" spans="1:12" ht="23.4">
      <c r="B13" s="186"/>
      <c r="D13" s="187"/>
      <c r="E13" s="196"/>
      <c r="I13" s="196"/>
      <c r="J13" s="187"/>
      <c r="K13" s="189"/>
    </row>
    <row r="14" spans="1:12" ht="23.4">
      <c r="B14" s="186"/>
      <c r="D14" s="187"/>
      <c r="E14" s="196"/>
      <c r="F14" s="382" t="s">
        <v>186</v>
      </c>
      <c r="G14" s="382"/>
      <c r="H14" s="382"/>
      <c r="I14" s="196"/>
      <c r="J14" s="187"/>
      <c r="K14" s="189"/>
    </row>
    <row r="15" spans="1:12" ht="23.4">
      <c r="B15" s="186"/>
      <c r="D15" s="187"/>
      <c r="E15" s="196"/>
      <c r="F15" s="382"/>
      <c r="G15" s="382"/>
      <c r="H15" s="382"/>
      <c r="I15" s="196"/>
      <c r="J15" s="187"/>
      <c r="K15" s="189"/>
    </row>
    <row r="16" spans="1:12" ht="23.4">
      <c r="B16" s="186"/>
      <c r="D16" s="187"/>
      <c r="E16" s="196"/>
      <c r="F16" s="197"/>
      <c r="G16" s="197"/>
      <c r="H16" s="197"/>
      <c r="I16" s="196"/>
      <c r="J16" s="187"/>
      <c r="K16" s="189"/>
    </row>
    <row r="17" spans="1:12">
      <c r="B17" s="186"/>
      <c r="D17" s="187"/>
      <c r="E17" s="187"/>
      <c r="F17" s="187"/>
      <c r="G17" s="187"/>
      <c r="H17" s="187"/>
      <c r="I17" s="187"/>
      <c r="J17" s="187"/>
      <c r="K17" s="189"/>
    </row>
    <row r="18" spans="1:12" ht="23.4">
      <c r="B18" s="186"/>
      <c r="C18" s="192"/>
      <c r="D18" s="192"/>
      <c r="E18" s="192"/>
      <c r="F18" s="198" t="s">
        <v>98</v>
      </c>
      <c r="G18" s="197" t="s">
        <v>99</v>
      </c>
      <c r="H18" s="199">
        <v>1</v>
      </c>
      <c r="I18" s="192"/>
      <c r="J18" s="192"/>
      <c r="K18" s="189"/>
    </row>
    <row r="19" spans="1:12" ht="21">
      <c r="B19" s="186"/>
      <c r="C19" s="192"/>
      <c r="D19" s="192"/>
      <c r="E19" s="192"/>
      <c r="F19" s="192"/>
      <c r="G19" s="200"/>
      <c r="H19" s="192"/>
      <c r="I19" s="192"/>
      <c r="J19" s="192"/>
      <c r="K19" s="189"/>
    </row>
    <row r="20" spans="1:12" ht="17.399999999999999">
      <c r="B20" s="186"/>
      <c r="C20" s="192"/>
      <c r="D20" s="192"/>
      <c r="E20" s="192"/>
      <c r="F20" s="192"/>
      <c r="G20" s="192"/>
      <c r="H20" s="192"/>
      <c r="I20" s="192"/>
      <c r="J20" s="192"/>
      <c r="K20" s="189"/>
    </row>
    <row r="21" spans="1:12" ht="120" customHeight="1">
      <c r="B21" s="186"/>
      <c r="C21" s="201"/>
      <c r="D21" s="387" t="s">
        <v>139</v>
      </c>
      <c r="E21" s="387"/>
      <c r="F21" s="387"/>
      <c r="G21" s="387"/>
      <c r="H21" s="387"/>
      <c r="I21" s="387"/>
      <c r="J21" s="387"/>
      <c r="K21" s="388"/>
    </row>
    <row r="22" spans="1:12" ht="25.8">
      <c r="B22" s="202"/>
      <c r="C22" s="201"/>
      <c r="D22" s="201"/>
      <c r="E22" s="201"/>
      <c r="F22" s="201"/>
      <c r="G22" s="201"/>
      <c r="H22" s="201"/>
      <c r="I22" s="201"/>
      <c r="J22" s="201"/>
      <c r="K22" s="189"/>
      <c r="L22" s="203"/>
    </row>
    <row r="23" spans="1:12" ht="28.8">
      <c r="B23" s="186"/>
      <c r="C23" s="204"/>
      <c r="D23" s="204"/>
      <c r="E23" s="383"/>
      <c r="F23" s="383"/>
      <c r="G23" s="383"/>
      <c r="H23" s="383"/>
      <c r="I23" s="383"/>
      <c r="J23" s="205"/>
      <c r="K23" s="189"/>
    </row>
    <row r="24" spans="1:12" ht="21">
      <c r="A24" s="206"/>
      <c r="B24" s="207"/>
      <c r="C24" s="384" t="s">
        <v>129</v>
      </c>
      <c r="D24" s="384"/>
      <c r="E24" s="384"/>
      <c r="F24" s="384"/>
      <c r="G24" s="384"/>
      <c r="H24" s="384"/>
      <c r="I24" s="384"/>
      <c r="J24" s="384"/>
      <c r="K24" s="208"/>
      <c r="L24" s="206"/>
    </row>
    <row r="25" spans="1:12" ht="28.5" customHeight="1">
      <c r="B25" s="186"/>
      <c r="C25" s="385" t="s">
        <v>59</v>
      </c>
      <c r="D25" s="385"/>
      <c r="E25" s="385"/>
      <c r="F25" s="385"/>
      <c r="G25" s="385"/>
      <c r="H25" s="310">
        <v>1</v>
      </c>
      <c r="I25" s="310"/>
      <c r="J25" s="310"/>
      <c r="K25" s="189"/>
    </row>
    <row r="26" spans="1:12" ht="21">
      <c r="B26" s="186"/>
      <c r="C26" s="386" t="s">
        <v>187</v>
      </c>
      <c r="D26" s="384"/>
      <c r="E26" s="384"/>
      <c r="F26" s="384"/>
      <c r="G26" s="384"/>
      <c r="H26" s="384"/>
      <c r="I26" s="384"/>
      <c r="J26" s="384"/>
      <c r="K26" s="189"/>
    </row>
    <row r="27" spans="1:12" ht="21">
      <c r="B27" s="186"/>
      <c r="C27" s="209"/>
      <c r="D27" s="209"/>
      <c r="E27" s="209"/>
      <c r="F27" s="209"/>
      <c r="G27" s="209"/>
      <c r="H27" s="209"/>
      <c r="I27" s="209"/>
      <c r="J27" s="209"/>
      <c r="K27" s="189"/>
    </row>
    <row r="28" spans="1:12" ht="18">
      <c r="B28" s="186"/>
      <c r="C28" s="210"/>
      <c r="D28" s="210"/>
      <c r="E28" s="210"/>
      <c r="F28" s="210"/>
      <c r="G28" s="210"/>
      <c r="H28" s="210"/>
      <c r="I28" s="210"/>
      <c r="J28" s="210"/>
      <c r="K28" s="189"/>
    </row>
    <row r="29" spans="1:12" ht="21">
      <c r="B29" s="186"/>
      <c r="C29" s="200"/>
      <c r="D29" s="200"/>
      <c r="E29" s="200"/>
      <c r="F29" s="200"/>
      <c r="G29" s="200"/>
      <c r="H29" s="200"/>
      <c r="I29" s="200"/>
      <c r="J29" s="200"/>
      <c r="K29" s="189"/>
    </row>
    <row r="30" spans="1:12" ht="21">
      <c r="B30" s="186"/>
      <c r="C30" s="211"/>
      <c r="D30" s="211"/>
      <c r="E30" s="211"/>
      <c r="F30" s="211"/>
      <c r="G30" s="211"/>
      <c r="H30" s="211"/>
      <c r="I30" s="211"/>
      <c r="J30" s="211"/>
      <c r="K30" s="189"/>
    </row>
    <row r="31" spans="1:12" ht="18">
      <c r="B31" s="186"/>
      <c r="C31" s="212"/>
      <c r="D31" s="212"/>
      <c r="E31" s="212"/>
      <c r="F31" s="212"/>
      <c r="G31" s="212"/>
      <c r="H31" s="212"/>
      <c r="I31" s="212"/>
      <c r="J31" s="212"/>
      <c r="K31" s="189"/>
    </row>
    <row r="32" spans="1:12">
      <c r="B32" s="186"/>
      <c r="C32" s="380"/>
      <c r="D32" s="380"/>
      <c r="E32" s="380"/>
      <c r="F32" s="380"/>
      <c r="G32" s="380"/>
      <c r="H32" s="380"/>
      <c r="I32" s="380"/>
      <c r="J32" s="380"/>
      <c r="K32" s="189"/>
    </row>
    <row r="33" spans="2:12">
      <c r="B33" s="186"/>
      <c r="C33" s="380"/>
      <c r="D33" s="380"/>
      <c r="E33" s="380"/>
      <c r="F33" s="380"/>
      <c r="G33" s="380"/>
      <c r="H33" s="380"/>
      <c r="I33" s="380"/>
      <c r="J33" s="380"/>
      <c r="K33" s="189"/>
    </row>
    <row r="34" spans="2:12" ht="18">
      <c r="B34" s="186"/>
      <c r="C34" s="212"/>
      <c r="D34" s="212"/>
      <c r="E34" s="212"/>
      <c r="F34" s="212"/>
      <c r="G34" s="212"/>
      <c r="H34" s="212"/>
      <c r="I34" s="212"/>
      <c r="J34" s="212"/>
      <c r="K34" s="189"/>
    </row>
    <row r="35" spans="2:12" ht="18">
      <c r="B35" s="186"/>
      <c r="C35" s="212"/>
      <c r="D35" s="212"/>
      <c r="E35" s="212"/>
      <c r="F35" s="212"/>
      <c r="G35" s="212"/>
      <c r="H35" s="212"/>
      <c r="I35" s="212"/>
      <c r="J35" s="212"/>
      <c r="K35" s="189"/>
    </row>
    <row r="36" spans="2:12">
      <c r="B36" s="213"/>
      <c r="C36" s="214"/>
      <c r="D36" s="214"/>
      <c r="E36" s="214"/>
      <c r="F36" s="214"/>
      <c r="G36" s="214"/>
      <c r="H36" s="214"/>
      <c r="I36" s="214"/>
      <c r="J36" s="214"/>
      <c r="K36" s="215"/>
    </row>
    <row r="37" spans="2:12" ht="18">
      <c r="B37" s="213"/>
      <c r="C37" s="216"/>
      <c r="D37" s="216"/>
      <c r="E37" s="216"/>
      <c r="F37" s="216"/>
      <c r="G37" s="216"/>
      <c r="H37" s="216"/>
      <c r="I37" s="216"/>
      <c r="J37" s="216"/>
      <c r="K37" s="215"/>
    </row>
    <row r="38" spans="2:12" ht="18">
      <c r="B38" s="213"/>
      <c r="C38" s="216"/>
      <c r="D38" s="216"/>
      <c r="E38" s="216"/>
      <c r="F38" s="216"/>
      <c r="G38" s="216"/>
      <c r="H38" s="216"/>
      <c r="I38" s="216"/>
      <c r="J38" s="216"/>
      <c r="K38" s="215"/>
      <c r="L38" s="217"/>
    </row>
    <row r="39" spans="2:12">
      <c r="B39" s="213"/>
      <c r="C39" s="214"/>
      <c r="D39" s="214"/>
      <c r="E39" s="214"/>
      <c r="F39" s="214"/>
      <c r="G39" s="214"/>
      <c r="H39" s="214"/>
      <c r="I39" s="214"/>
      <c r="J39" s="214"/>
      <c r="K39" s="215"/>
    </row>
    <row r="40" spans="2:12">
      <c r="B40" s="213"/>
      <c r="C40" s="214"/>
      <c r="D40" s="214"/>
      <c r="E40" s="214"/>
      <c r="F40" s="214"/>
      <c r="G40" s="214"/>
      <c r="H40" s="214"/>
      <c r="I40" s="214"/>
      <c r="J40" s="214"/>
      <c r="K40" s="215"/>
    </row>
    <row r="41" spans="2:12">
      <c r="B41" s="213"/>
      <c r="C41" s="380"/>
      <c r="D41" s="380"/>
      <c r="E41" s="380"/>
      <c r="F41" s="380"/>
      <c r="G41" s="380"/>
      <c r="H41" s="380"/>
      <c r="I41" s="380"/>
      <c r="J41" s="380"/>
      <c r="K41" s="380"/>
      <c r="L41" s="218"/>
    </row>
    <row r="42" spans="2:12">
      <c r="B42" s="213"/>
      <c r="C42" s="380"/>
      <c r="D42" s="380"/>
      <c r="E42" s="380"/>
      <c r="F42" s="380"/>
      <c r="G42" s="380"/>
      <c r="H42" s="380"/>
      <c r="I42" s="380"/>
      <c r="J42" s="380"/>
      <c r="K42" s="380"/>
      <c r="L42" s="218"/>
    </row>
    <row r="43" spans="2:12">
      <c r="B43" s="219"/>
      <c r="C43" s="389"/>
      <c r="D43" s="389"/>
      <c r="E43" s="389"/>
      <c r="F43" s="389"/>
      <c r="G43" s="389"/>
      <c r="H43" s="389"/>
      <c r="I43" s="389"/>
      <c r="J43" s="389"/>
      <c r="K43" s="220"/>
    </row>
    <row r="44" spans="2:12">
      <c r="C44" s="390"/>
      <c r="D44" s="390"/>
      <c r="E44" s="390"/>
      <c r="F44" s="390"/>
      <c r="G44" s="390"/>
      <c r="H44" s="390"/>
      <c r="I44" s="390"/>
      <c r="J44" s="390"/>
    </row>
  </sheetData>
  <mergeCells count="16">
    <mergeCell ref="C33:J33"/>
    <mergeCell ref="C41:K41"/>
    <mergeCell ref="C42:K42"/>
    <mergeCell ref="C43:J43"/>
    <mergeCell ref="C44:J44"/>
    <mergeCell ref="C32:J32"/>
    <mergeCell ref="E10:I10"/>
    <mergeCell ref="E11:I11"/>
    <mergeCell ref="E12:I12"/>
    <mergeCell ref="F14:H14"/>
    <mergeCell ref="F15:H15"/>
    <mergeCell ref="E23:I23"/>
    <mergeCell ref="C24:J24"/>
    <mergeCell ref="C25:G25"/>
    <mergeCell ref="C26:J26"/>
    <mergeCell ref="D21:K21"/>
  </mergeCells>
  <pageMargins left="0.70866141732283472" right="0.70866141732283472" top="0.74803149606299213" bottom="0.74803149606299213" header="0.31496062992125984" footer="0.31496062992125984"/>
  <pageSetup scale="69" orientation="portrait" r:id="rId1"/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3:N184"/>
  <sheetViews>
    <sheetView tabSelected="1" view="pageBreakPreview" topLeftCell="A10" zoomScale="60" zoomScaleNormal="90" workbookViewId="0">
      <selection activeCell="J9" sqref="J9"/>
    </sheetView>
  </sheetViews>
  <sheetFormatPr baseColWidth="10" defaultColWidth="11.44140625" defaultRowHeight="15"/>
  <cols>
    <col min="1" max="2" width="2.6640625" style="1" customWidth="1"/>
    <col min="3" max="3" width="12.44140625" style="1" customWidth="1"/>
    <col min="4" max="4" width="14.6640625" style="1" customWidth="1"/>
    <col min="5" max="5" width="19.5546875" style="1" customWidth="1"/>
    <col min="6" max="6" width="14" style="1" customWidth="1"/>
    <col min="7" max="7" width="12" style="1" bestFit="1" customWidth="1"/>
    <col min="8" max="8" width="13" style="1" customWidth="1"/>
    <col min="9" max="9" width="9.33203125" style="1" customWidth="1"/>
    <col min="10" max="10" width="37" style="1" customWidth="1"/>
    <col min="11" max="11" width="5.5546875" style="1" customWidth="1"/>
    <col min="12" max="12" width="2.6640625" style="1" customWidth="1"/>
    <col min="13" max="13" width="15.109375" style="1" customWidth="1"/>
    <col min="14" max="16384" width="11.44140625" style="1"/>
  </cols>
  <sheetData>
    <row r="3" spans="2:11" ht="15.6" thickBot="1"/>
    <row r="4" spans="2:11">
      <c r="B4" s="398"/>
      <c r="C4" s="399"/>
      <c r="D4" s="399"/>
      <c r="E4" s="6"/>
      <c r="F4" s="8"/>
      <c r="G4" s="8"/>
      <c r="H4" s="8"/>
      <c r="I4" s="9"/>
      <c r="J4" s="8"/>
      <c r="K4" s="9"/>
    </row>
    <row r="5" spans="2:11">
      <c r="B5" s="400"/>
      <c r="C5" s="401"/>
      <c r="D5" s="401"/>
      <c r="E5" s="404"/>
      <c r="F5" s="393"/>
      <c r="G5" s="393"/>
      <c r="H5" s="393"/>
      <c r="I5" s="405"/>
      <c r="J5" s="2" t="s">
        <v>57</v>
      </c>
      <c r="K5" s="17"/>
    </row>
    <row r="6" spans="2:11">
      <c r="B6" s="400"/>
      <c r="C6" s="401"/>
      <c r="D6" s="401"/>
      <c r="E6" s="404"/>
      <c r="F6" s="393"/>
      <c r="G6" s="393"/>
      <c r="H6" s="393"/>
      <c r="I6" s="405"/>
      <c r="J6" s="2"/>
      <c r="K6" s="17"/>
    </row>
    <row r="7" spans="2:11">
      <c r="B7" s="400"/>
      <c r="C7" s="401"/>
      <c r="D7" s="401"/>
      <c r="E7" s="15"/>
      <c r="F7" s="2"/>
      <c r="G7" s="2"/>
      <c r="H7" s="2"/>
      <c r="I7" s="10"/>
      <c r="J7" s="13" t="s">
        <v>188</v>
      </c>
      <c r="K7" s="17"/>
    </row>
    <row r="8" spans="2:11">
      <c r="B8" s="400"/>
      <c r="C8" s="401"/>
      <c r="D8" s="401"/>
      <c r="E8" s="404" t="s">
        <v>56</v>
      </c>
      <c r="F8" s="393"/>
      <c r="G8" s="393"/>
      <c r="H8" s="393"/>
      <c r="I8" s="405"/>
      <c r="J8" s="2" t="s">
        <v>189</v>
      </c>
      <c r="K8" s="17"/>
    </row>
    <row r="9" spans="2:11">
      <c r="B9" s="400"/>
      <c r="C9" s="401"/>
      <c r="D9" s="401"/>
      <c r="E9" s="15"/>
      <c r="F9" s="2"/>
      <c r="G9" s="2"/>
      <c r="H9" s="2"/>
      <c r="I9" s="10"/>
      <c r="J9" s="2" t="s">
        <v>190</v>
      </c>
      <c r="K9" s="17"/>
    </row>
    <row r="10" spans="2:11">
      <c r="B10" s="400"/>
      <c r="C10" s="401"/>
      <c r="D10" s="401"/>
      <c r="E10" s="15"/>
      <c r="F10" s="2"/>
      <c r="G10" s="2"/>
      <c r="H10" s="2"/>
      <c r="I10" s="10"/>
      <c r="J10" s="2" t="s">
        <v>75</v>
      </c>
      <c r="K10" s="17"/>
    </row>
    <row r="11" spans="2:11">
      <c r="B11" s="400"/>
      <c r="C11" s="401"/>
      <c r="D11" s="401"/>
      <c r="E11" s="404" t="s">
        <v>55</v>
      </c>
      <c r="F11" s="393"/>
      <c r="G11" s="393"/>
      <c r="H11" s="393"/>
      <c r="I11" s="405"/>
      <c r="K11" s="17"/>
    </row>
    <row r="12" spans="2:11" ht="15.6" thickBot="1">
      <c r="B12" s="402"/>
      <c r="C12" s="403"/>
      <c r="D12" s="403"/>
      <c r="E12" s="26"/>
      <c r="F12" s="28"/>
      <c r="G12" s="28"/>
      <c r="H12" s="28"/>
      <c r="I12" s="30"/>
      <c r="J12" s="28"/>
      <c r="K12" s="30"/>
    </row>
    <row r="13" spans="2:11" ht="26.25" customHeight="1">
      <c r="B13" s="393" t="s">
        <v>54</v>
      </c>
      <c r="C13" s="393"/>
      <c r="D13" s="393"/>
      <c r="E13" s="393"/>
      <c r="F13" s="393"/>
      <c r="G13" s="393"/>
      <c r="H13" s="393"/>
      <c r="I13" s="393"/>
      <c r="J13" s="393"/>
      <c r="K13" s="393"/>
    </row>
    <row r="14" spans="2:11" ht="8.25" customHeight="1">
      <c r="C14" s="2"/>
      <c r="J14" s="3"/>
    </row>
    <row r="15" spans="2:11" ht="5.0999999999999996" customHeight="1" thickBot="1">
      <c r="C15" s="5"/>
    </row>
    <row r="16" spans="2:11">
      <c r="B16" s="6"/>
      <c r="C16" s="7"/>
      <c r="D16" s="8"/>
      <c r="E16" s="8"/>
      <c r="F16" s="8"/>
      <c r="G16" s="8"/>
      <c r="H16" s="8"/>
      <c r="I16" s="8"/>
      <c r="J16" s="8"/>
      <c r="K16" s="9"/>
    </row>
    <row r="17" spans="2:14" ht="17.399999999999999">
      <c r="B17" s="391" t="str">
        <f>+CONCATENATE("E S T A D O   D E   P A G O   N ° ",E19,"   -   O D S  N ° ",H19)</f>
        <v>E S T A D O   D E   P A G O   N ° 1   -   O D S  N ° 1</v>
      </c>
      <c r="C17" s="392"/>
      <c r="D17" s="392"/>
      <c r="E17" s="392"/>
      <c r="F17" s="392"/>
      <c r="G17" s="392"/>
      <c r="H17" s="392"/>
      <c r="I17" s="392"/>
      <c r="J17" s="392"/>
      <c r="K17" s="10"/>
    </row>
    <row r="18" spans="2:14" ht="15.6" thickBot="1">
      <c r="B18" s="11"/>
      <c r="D18" s="12"/>
      <c r="E18" s="393"/>
      <c r="F18" s="393"/>
      <c r="G18" s="393"/>
      <c r="H18" s="393"/>
      <c r="I18" s="393"/>
      <c r="J18" s="12"/>
      <c r="K18" s="10"/>
    </row>
    <row r="19" spans="2:14" ht="18" thickBot="1">
      <c r="B19" s="11"/>
      <c r="C19" s="13" t="s">
        <v>0</v>
      </c>
      <c r="D19" s="5"/>
      <c r="E19" s="14">
        <f>+PORTADA!H25</f>
        <v>1</v>
      </c>
      <c r="F19" s="5"/>
      <c r="G19" s="5" t="s">
        <v>101</v>
      </c>
      <c r="H19" s="14">
        <f>+PORTADA!H18</f>
        <v>1</v>
      </c>
      <c r="I19" s="5"/>
      <c r="J19" s="5"/>
      <c r="K19" s="10"/>
    </row>
    <row r="20" spans="2:14">
      <c r="B20" s="11"/>
      <c r="C20" s="13" t="s">
        <v>1</v>
      </c>
      <c r="D20" s="36">
        <v>44915</v>
      </c>
      <c r="E20" s="162" t="s">
        <v>72</v>
      </c>
      <c r="F20" s="36">
        <v>44977</v>
      </c>
      <c r="G20" s="5"/>
      <c r="H20" s="5"/>
      <c r="I20" s="5"/>
      <c r="J20" s="5"/>
      <c r="K20" s="10"/>
    </row>
    <row r="21" spans="2:14" s="2" customFormat="1" ht="15.6">
      <c r="B21" s="15"/>
      <c r="C21" s="2" t="s">
        <v>2</v>
      </c>
      <c r="D21" s="37">
        <f>F20</f>
        <v>44977</v>
      </c>
      <c r="K21" s="10"/>
      <c r="N21" s="120"/>
    </row>
    <row r="22" spans="2:14" ht="15" customHeight="1">
      <c r="B22" s="16"/>
      <c r="K22" s="17"/>
    </row>
    <row r="23" spans="2:14" ht="15" customHeight="1">
      <c r="B23" s="16"/>
      <c r="C23" s="2" t="s">
        <v>64</v>
      </c>
      <c r="F23" s="69" t="s">
        <v>191</v>
      </c>
      <c r="K23" s="17"/>
    </row>
    <row r="24" spans="2:14" ht="15" customHeight="1">
      <c r="B24" s="16"/>
      <c r="C24" s="2" t="s">
        <v>65</v>
      </c>
      <c r="F24" s="1" t="s">
        <v>191</v>
      </c>
      <c r="K24" s="17"/>
    </row>
    <row r="25" spans="2:14" ht="38.25" customHeight="1">
      <c r="B25" s="16"/>
      <c r="C25" s="2" t="s">
        <v>66</v>
      </c>
      <c r="D25" s="70"/>
      <c r="E25" s="70"/>
      <c r="F25" s="397" t="s">
        <v>139</v>
      </c>
      <c r="G25" s="397"/>
      <c r="H25" s="397"/>
      <c r="I25" s="397"/>
      <c r="J25" s="397"/>
      <c r="K25" s="17"/>
    </row>
    <row r="26" spans="2:14">
      <c r="B26" s="16"/>
      <c r="C26" s="394" t="s">
        <v>67</v>
      </c>
      <c r="D26" s="395"/>
      <c r="E26" s="395"/>
      <c r="F26" s="69" t="s">
        <v>192</v>
      </c>
      <c r="K26" s="17"/>
      <c r="N26" s="121"/>
    </row>
    <row r="27" spans="2:14">
      <c r="B27" s="16"/>
      <c r="C27" s="1" t="s">
        <v>3</v>
      </c>
      <c r="E27" s="172">
        <v>44880</v>
      </c>
      <c r="G27" s="1" t="s">
        <v>4</v>
      </c>
      <c r="I27" s="119"/>
      <c r="K27" s="17"/>
    </row>
    <row r="28" spans="2:14">
      <c r="B28" s="16"/>
      <c r="C28" s="1" t="s">
        <v>5</v>
      </c>
      <c r="E28" s="172">
        <v>44896</v>
      </c>
      <c r="K28" s="17"/>
    </row>
    <row r="29" spans="2:14">
      <c r="B29" s="16"/>
      <c r="C29" s="1" t="s">
        <v>6</v>
      </c>
      <c r="E29" s="172">
        <v>45291</v>
      </c>
      <c r="K29" s="17"/>
    </row>
    <row r="30" spans="2:14">
      <c r="B30" s="16"/>
      <c r="C30" s="1" t="s">
        <v>7</v>
      </c>
      <c r="I30" s="18" t="s">
        <v>60</v>
      </c>
      <c r="J30" s="124">
        <f>+'EDP 001'!G47</f>
        <v>7282646</v>
      </c>
      <c r="K30" s="17"/>
    </row>
    <row r="31" spans="2:14">
      <c r="B31" s="16"/>
      <c r="C31" s="1" t="s">
        <v>126</v>
      </c>
      <c r="I31" s="18" t="s">
        <v>60</v>
      </c>
      <c r="J31" s="124">
        <f>+'NOC-1'!K36</f>
        <v>2511023</v>
      </c>
      <c r="K31" s="17"/>
      <c r="L31" s="18"/>
    </row>
    <row r="32" spans="2:14">
      <c r="B32" s="16"/>
      <c r="C32" s="1" t="s">
        <v>127</v>
      </c>
      <c r="I32" s="18" t="s">
        <v>60</v>
      </c>
      <c r="J32" s="124">
        <v>0</v>
      </c>
      <c r="K32" s="17"/>
      <c r="L32" s="18"/>
    </row>
    <row r="33" spans="2:14">
      <c r="B33" s="16"/>
      <c r="C33" s="1" t="s">
        <v>47</v>
      </c>
      <c r="I33" s="18" t="s">
        <v>60</v>
      </c>
      <c r="J33" s="123">
        <f>+J30+J31+J32</f>
        <v>9793669</v>
      </c>
      <c r="K33" s="17"/>
      <c r="M33" s="129"/>
    </row>
    <row r="34" spans="2:14" ht="15.6" thickBot="1">
      <c r="B34" s="16"/>
      <c r="C34" s="19"/>
      <c r="D34" s="19"/>
      <c r="E34" s="19"/>
      <c r="F34" s="19"/>
      <c r="G34" s="19"/>
      <c r="H34" s="19"/>
      <c r="I34" s="20"/>
      <c r="J34" s="19"/>
      <c r="K34" s="17"/>
    </row>
    <row r="35" spans="2:14" ht="15.6" thickTop="1">
      <c r="B35" s="16"/>
      <c r="C35" s="1" t="s">
        <v>8</v>
      </c>
      <c r="I35" s="18" t="s">
        <v>60</v>
      </c>
      <c r="J35" s="123">
        <f>+'EDP 001'!N47</f>
        <v>9793669.3000000007</v>
      </c>
      <c r="K35" s="17"/>
      <c r="M35" s="129"/>
    </row>
    <row r="36" spans="2:14">
      <c r="B36" s="16"/>
      <c r="C36" s="1" t="str">
        <f>"VALOR  PAGADO AL  ESTADO  DE  PAGO  ANTERIOR             N°"&amp;"  "&amp;(E19-1)</f>
        <v>VALOR  PAGADO AL  ESTADO  DE  PAGO  ANTERIOR             N°  0</v>
      </c>
      <c r="H36" s="21"/>
      <c r="I36" s="18" t="s">
        <v>60</v>
      </c>
      <c r="J36" s="123">
        <v>0</v>
      </c>
      <c r="K36" s="17"/>
    </row>
    <row r="37" spans="2:14">
      <c r="B37" s="16"/>
      <c r="I37" s="18"/>
      <c r="J37" s="123"/>
      <c r="K37" s="17"/>
    </row>
    <row r="38" spans="2:14">
      <c r="B38" s="16"/>
      <c r="C38" s="1" t="s">
        <v>9</v>
      </c>
      <c r="I38" s="18" t="s">
        <v>60</v>
      </c>
      <c r="J38" s="124">
        <f>+'EDP 001'!P47</f>
        <v>9793669.3000000007</v>
      </c>
      <c r="K38" s="17"/>
    </row>
    <row r="39" spans="2:14">
      <c r="B39" s="16"/>
      <c r="C39" s="1" t="s">
        <v>10</v>
      </c>
      <c r="I39" s="18" t="s">
        <v>60</v>
      </c>
      <c r="J39" s="123">
        <f>+J38</f>
        <v>9793669.3000000007</v>
      </c>
      <c r="K39" s="17"/>
    </row>
    <row r="40" spans="2:14">
      <c r="B40" s="16"/>
      <c r="C40" s="1" t="s">
        <v>11</v>
      </c>
      <c r="I40" s="18" t="s">
        <v>60</v>
      </c>
      <c r="J40" s="123">
        <f>J38-J39</f>
        <v>0</v>
      </c>
      <c r="K40" s="17"/>
      <c r="M40" s="129">
        <f>+J39+J40</f>
        <v>9793669.3000000007</v>
      </c>
    </row>
    <row r="41" spans="2:14">
      <c r="B41" s="16"/>
      <c r="I41" s="18"/>
      <c r="J41" s="4"/>
      <c r="K41" s="17"/>
    </row>
    <row r="42" spans="2:14">
      <c r="B42" s="16"/>
      <c r="K42" s="17"/>
    </row>
    <row r="43" spans="2:14">
      <c r="B43" s="16"/>
      <c r="C43" s="2" t="s">
        <v>12</v>
      </c>
      <c r="I43" s="18"/>
      <c r="K43" s="17"/>
    </row>
    <row r="44" spans="2:14">
      <c r="B44" s="16"/>
      <c r="C44" s="1" t="s">
        <v>182</v>
      </c>
      <c r="G44" s="130"/>
      <c r="H44" s="23"/>
      <c r="I44" s="18" t="s">
        <v>60</v>
      </c>
      <c r="J44" s="123">
        <f>+J39*N44</f>
        <v>0</v>
      </c>
      <c r="K44" s="17"/>
      <c r="N44" s="23">
        <v>0</v>
      </c>
    </row>
    <row r="45" spans="2:14">
      <c r="B45" s="16"/>
      <c r="C45" s="1" t="s">
        <v>10</v>
      </c>
      <c r="H45" s="21"/>
      <c r="I45" s="18" t="s">
        <v>60</v>
      </c>
      <c r="J45" s="123">
        <f>+J39</f>
        <v>9793669.3000000007</v>
      </c>
      <c r="K45" s="17"/>
    </row>
    <row r="46" spans="2:14">
      <c r="B46" s="16"/>
      <c r="C46" s="1" t="s">
        <v>46</v>
      </c>
      <c r="I46" s="18" t="s">
        <v>60</v>
      </c>
      <c r="J46" s="123">
        <f>+J45+J44</f>
        <v>9793669.3000000007</v>
      </c>
      <c r="K46" s="17"/>
    </row>
    <row r="47" spans="2:14">
      <c r="B47" s="16"/>
      <c r="I47" s="18"/>
      <c r="J47" s="121"/>
      <c r="K47" s="17"/>
    </row>
    <row r="48" spans="2:14">
      <c r="B48" s="16"/>
      <c r="C48" s="1" t="s">
        <v>13</v>
      </c>
      <c r="I48" s="18" t="s">
        <v>60</v>
      </c>
      <c r="J48" s="123">
        <f>J38+J44</f>
        <v>9793669.3000000007</v>
      </c>
      <c r="K48" s="17"/>
    </row>
    <row r="49" spans="2:14">
      <c r="B49" s="16"/>
      <c r="I49" s="18"/>
      <c r="J49" s="123"/>
      <c r="K49" s="17"/>
    </row>
    <row r="50" spans="2:14">
      <c r="B50" s="16"/>
      <c r="C50" s="1" t="s">
        <v>14</v>
      </c>
      <c r="E50" s="22"/>
      <c r="F50" s="1" t="s">
        <v>17</v>
      </c>
      <c r="G50" s="24"/>
      <c r="H50" s="24"/>
      <c r="I50" s="18" t="s">
        <v>60</v>
      </c>
      <c r="J50" s="123">
        <v>0</v>
      </c>
      <c r="K50" s="17"/>
    </row>
    <row r="51" spans="2:14">
      <c r="B51" s="16"/>
      <c r="I51" s="18"/>
      <c r="J51" s="123"/>
      <c r="K51" s="17"/>
    </row>
    <row r="52" spans="2:14">
      <c r="B52" s="16"/>
      <c r="I52" s="18"/>
      <c r="J52" s="123"/>
      <c r="K52" s="17"/>
    </row>
    <row r="53" spans="2:14">
      <c r="B53" s="16"/>
      <c r="C53" s="2" t="s">
        <v>15</v>
      </c>
      <c r="I53" s="18" t="s">
        <v>60</v>
      </c>
      <c r="J53" s="125">
        <f>+J48+J50</f>
        <v>9793669.3000000007</v>
      </c>
      <c r="K53" s="17"/>
    </row>
    <row r="54" spans="2:14">
      <c r="B54" s="16"/>
      <c r="C54" s="2" t="s">
        <v>62</v>
      </c>
      <c r="F54" s="4"/>
      <c r="I54" s="18" t="s">
        <v>60</v>
      </c>
      <c r="J54" s="125">
        <f>+J53*N54</f>
        <v>1860797.1670000001</v>
      </c>
      <c r="K54" s="17"/>
      <c r="N54" s="179">
        <v>0.19</v>
      </c>
    </row>
    <row r="55" spans="2:14">
      <c r="B55" s="16"/>
      <c r="C55" s="2" t="s">
        <v>16</v>
      </c>
      <c r="I55" s="18" t="s">
        <v>60</v>
      </c>
      <c r="J55" s="125">
        <f>+J54+J53</f>
        <v>11654466.467</v>
      </c>
      <c r="K55" s="17"/>
    </row>
    <row r="56" spans="2:14">
      <c r="B56" s="16"/>
      <c r="C56" s="2"/>
      <c r="I56" s="18"/>
      <c r="J56" s="25"/>
      <c r="K56" s="17"/>
    </row>
    <row r="57" spans="2:14">
      <c r="B57" s="16"/>
      <c r="C57" s="2"/>
      <c r="K57" s="17"/>
    </row>
    <row r="58" spans="2:14" ht="15.6" thickBot="1">
      <c r="B58" s="26"/>
      <c r="C58" s="27"/>
      <c r="D58" s="28"/>
      <c r="E58" s="28"/>
      <c r="F58" s="28"/>
      <c r="G58" s="28"/>
      <c r="H58" s="28"/>
      <c r="I58" s="28"/>
      <c r="J58" s="29"/>
      <c r="K58" s="30"/>
    </row>
    <row r="59" spans="2:14">
      <c r="B59" s="16"/>
      <c r="C59" s="2"/>
      <c r="J59" s="25"/>
      <c r="K59" s="17"/>
    </row>
    <row r="60" spans="2:14" ht="17.399999999999999">
      <c r="B60" s="16"/>
      <c r="C60" s="375" t="s">
        <v>63</v>
      </c>
      <c r="D60" s="376" t="s">
        <v>183</v>
      </c>
      <c r="E60" s="375"/>
      <c r="F60" s="375"/>
      <c r="G60" s="375"/>
      <c r="H60" s="375"/>
      <c r="I60" s="377"/>
      <c r="J60" s="378"/>
      <c r="K60" s="379"/>
    </row>
    <row r="61" spans="2:14" ht="17.399999999999999">
      <c r="B61" s="16"/>
      <c r="C61" s="392"/>
      <c r="D61" s="392"/>
      <c r="E61" s="392"/>
      <c r="F61" s="392"/>
      <c r="G61" s="392"/>
      <c r="H61" s="392"/>
      <c r="I61" s="392"/>
      <c r="J61" s="392"/>
      <c r="K61" s="396"/>
    </row>
    <row r="62" spans="2:14" ht="15.6" thickBot="1">
      <c r="B62" s="32"/>
      <c r="C62" s="19"/>
      <c r="D62" s="19"/>
      <c r="E62" s="19"/>
      <c r="F62" s="19"/>
      <c r="G62" s="19"/>
      <c r="H62" s="19"/>
      <c r="I62" s="20"/>
      <c r="J62" s="19"/>
      <c r="K62" s="33"/>
      <c r="L62" s="34"/>
    </row>
    <row r="63" spans="2:14" ht="15.6" thickTop="1">
      <c r="B63" s="16"/>
      <c r="I63" s="18"/>
      <c r="K63" s="17"/>
      <c r="L63" s="34"/>
    </row>
    <row r="64" spans="2:14">
      <c r="B64" s="16"/>
      <c r="I64" s="18"/>
      <c r="K64" s="17"/>
      <c r="L64" s="34"/>
    </row>
    <row r="65" spans="2:12">
      <c r="B65" s="16"/>
      <c r="I65" s="18"/>
      <c r="K65" s="17"/>
      <c r="L65" s="34"/>
    </row>
    <row r="66" spans="2:12">
      <c r="B66" s="16"/>
      <c r="C66" s="401"/>
      <c r="D66" s="401"/>
      <c r="E66" s="401"/>
      <c r="F66" s="401"/>
      <c r="I66" s="401"/>
      <c r="J66" s="401"/>
      <c r="K66" s="17"/>
      <c r="L66" s="34"/>
    </row>
    <row r="67" spans="2:12">
      <c r="B67" s="16"/>
      <c r="K67" s="17"/>
    </row>
    <row r="68" spans="2:12">
      <c r="B68" s="16"/>
      <c r="C68" s="407"/>
      <c r="D68" s="407"/>
      <c r="E68" s="407"/>
      <c r="F68" s="407"/>
      <c r="I68" s="407"/>
      <c r="J68" s="407"/>
      <c r="K68" s="17"/>
    </row>
    <row r="69" spans="2:12">
      <c r="B69" s="16"/>
      <c r="C69" s="406" t="s">
        <v>193</v>
      </c>
      <c r="D69" s="406"/>
      <c r="E69" s="406"/>
      <c r="F69" s="406"/>
      <c r="I69" s="406" t="s">
        <v>193</v>
      </c>
      <c r="J69" s="406"/>
      <c r="K69" s="17"/>
    </row>
    <row r="70" spans="2:12">
      <c r="B70" s="16"/>
      <c r="C70" s="401" t="s">
        <v>194</v>
      </c>
      <c r="D70" s="401"/>
      <c r="E70" s="401"/>
      <c r="F70" s="401"/>
      <c r="G70" s="35"/>
      <c r="I70" s="401" t="s">
        <v>195</v>
      </c>
      <c r="J70" s="401"/>
      <c r="K70" s="17"/>
    </row>
    <row r="71" spans="2:12">
      <c r="B71" s="16"/>
      <c r="I71" s="35"/>
      <c r="K71" s="17"/>
    </row>
    <row r="72" spans="2:12">
      <c r="B72" s="16"/>
      <c r="C72" s="295"/>
      <c r="D72" s="295"/>
      <c r="E72" s="295"/>
      <c r="F72" s="295"/>
      <c r="G72" s="295"/>
      <c r="H72" s="295"/>
      <c r="I72" s="296"/>
      <c r="J72" s="295"/>
      <c r="K72" s="17"/>
    </row>
    <row r="73" spans="2:12">
      <c r="B73" s="16"/>
      <c r="C73" s="408"/>
      <c r="D73" s="408"/>
      <c r="E73" s="408"/>
      <c r="F73" s="408"/>
      <c r="G73" s="295"/>
      <c r="H73" s="295"/>
      <c r="I73" s="408"/>
      <c r="J73" s="408"/>
      <c r="K73" s="17"/>
    </row>
    <row r="74" spans="2:12" ht="15.6" thickBot="1">
      <c r="B74" s="26"/>
      <c r="C74" s="403"/>
      <c r="D74" s="403"/>
      <c r="E74" s="403"/>
      <c r="F74" s="403"/>
      <c r="G74" s="28"/>
      <c r="H74" s="28"/>
      <c r="I74" s="403"/>
      <c r="J74" s="403"/>
      <c r="K74" s="30"/>
    </row>
    <row r="75" spans="2:12" ht="5.0999999999999996" customHeight="1">
      <c r="C75" s="401"/>
      <c r="D75" s="401"/>
      <c r="E75" s="401"/>
      <c r="F75" s="401"/>
      <c r="I75" s="401"/>
      <c r="J75" s="401"/>
    </row>
    <row r="88" spans="12:12">
      <c r="L88" s="4"/>
    </row>
    <row r="91" spans="12:12">
      <c r="L91" s="4"/>
    </row>
    <row r="92" spans="12:12">
      <c r="L92" s="4"/>
    </row>
    <row r="107" spans="3:10">
      <c r="C107" s="2"/>
      <c r="J107" s="25"/>
    </row>
    <row r="108" spans="3:10">
      <c r="C108" s="2"/>
      <c r="J108" s="25"/>
    </row>
    <row r="109" spans="3:10">
      <c r="C109" s="2"/>
      <c r="J109" s="25"/>
    </row>
    <row r="110" spans="3:10">
      <c r="C110" s="2"/>
      <c r="J110" s="25"/>
    </row>
    <row r="111" spans="3:10">
      <c r="C111" s="2"/>
      <c r="J111" s="25"/>
    </row>
    <row r="112" spans="3:10">
      <c r="C112" s="2"/>
      <c r="J112" s="25"/>
    </row>
    <row r="113" spans="3:10">
      <c r="C113" s="2"/>
      <c r="J113" s="25"/>
    </row>
    <row r="114" spans="3:10">
      <c r="C114" s="2"/>
      <c r="J114" s="25"/>
    </row>
    <row r="115" spans="3:10">
      <c r="C115" s="2"/>
      <c r="J115" s="25"/>
    </row>
    <row r="116" spans="3:10">
      <c r="C116" s="2"/>
      <c r="J116" s="25"/>
    </row>
    <row r="117" spans="3:10">
      <c r="C117" s="2"/>
      <c r="J117" s="25"/>
    </row>
    <row r="118" spans="3:10">
      <c r="C118" s="2"/>
      <c r="J118" s="25"/>
    </row>
    <row r="119" spans="3:10">
      <c r="C119" s="2"/>
      <c r="J119" s="25"/>
    </row>
    <row r="120" spans="3:10">
      <c r="C120" s="2"/>
      <c r="J120" s="25"/>
    </row>
    <row r="121" spans="3:10">
      <c r="C121" s="2"/>
      <c r="J121" s="25"/>
    </row>
    <row r="122" spans="3:10">
      <c r="C122" s="2"/>
      <c r="J122" s="25"/>
    </row>
    <row r="123" spans="3:10">
      <c r="C123" s="2"/>
      <c r="J123" s="25"/>
    </row>
    <row r="124" spans="3:10">
      <c r="C124" s="2"/>
      <c r="J124" s="25"/>
    </row>
    <row r="125" spans="3:10">
      <c r="C125" s="2"/>
      <c r="J125" s="25"/>
    </row>
    <row r="126" spans="3:10">
      <c r="C126" s="2"/>
      <c r="J126" s="25"/>
    </row>
    <row r="127" spans="3:10">
      <c r="C127" s="2"/>
      <c r="J127" s="25"/>
    </row>
    <row r="128" spans="3:10">
      <c r="C128" s="2"/>
      <c r="J128" s="25"/>
    </row>
    <row r="129" spans="3:10">
      <c r="C129" s="2"/>
      <c r="J129" s="25"/>
    </row>
    <row r="130" spans="3:10">
      <c r="C130" s="2"/>
      <c r="J130" s="25"/>
    </row>
    <row r="131" spans="3:10">
      <c r="C131" s="2"/>
      <c r="J131" s="25"/>
    </row>
    <row r="132" spans="3:10">
      <c r="C132" s="2"/>
      <c r="J132" s="25"/>
    </row>
    <row r="133" spans="3:10">
      <c r="C133" s="2"/>
      <c r="J133" s="25"/>
    </row>
    <row r="134" spans="3:10">
      <c r="C134" s="2"/>
      <c r="J134" s="25"/>
    </row>
    <row r="135" spans="3:10">
      <c r="C135" s="2"/>
      <c r="J135" s="25"/>
    </row>
    <row r="136" spans="3:10">
      <c r="C136" s="2"/>
      <c r="J136" s="25"/>
    </row>
    <row r="137" spans="3:10">
      <c r="C137" s="2"/>
      <c r="J137" s="25"/>
    </row>
    <row r="138" spans="3:10">
      <c r="C138" s="2"/>
      <c r="J138" s="25"/>
    </row>
    <row r="139" spans="3:10">
      <c r="C139" s="2"/>
      <c r="J139" s="25"/>
    </row>
    <row r="140" spans="3:10">
      <c r="C140" s="2"/>
      <c r="J140" s="25"/>
    </row>
    <row r="141" spans="3:10">
      <c r="C141" s="2"/>
      <c r="J141" s="25"/>
    </row>
    <row r="142" spans="3:10">
      <c r="C142" s="2"/>
      <c r="J142" s="25"/>
    </row>
    <row r="143" spans="3:10">
      <c r="C143" s="2"/>
      <c r="J143" s="25"/>
    </row>
    <row r="144" spans="3:10">
      <c r="C144" s="2"/>
      <c r="J144" s="25"/>
    </row>
    <row r="147" spans="12:12">
      <c r="L147" s="34"/>
    </row>
    <row r="148" spans="12:12">
      <c r="L148" s="34"/>
    </row>
    <row r="149" spans="12:12">
      <c r="L149" s="34"/>
    </row>
    <row r="150" spans="12:12">
      <c r="L150" s="34"/>
    </row>
    <row r="151" spans="12:12">
      <c r="L151" s="34"/>
    </row>
    <row r="152" spans="12:12">
      <c r="L152" s="34"/>
    </row>
    <row r="153" spans="12:12">
      <c r="L153" s="34"/>
    </row>
    <row r="154" spans="12:12">
      <c r="L154" s="34"/>
    </row>
    <row r="155" spans="12:12">
      <c r="L155" s="34"/>
    </row>
    <row r="156" spans="12:12">
      <c r="L156" s="34"/>
    </row>
    <row r="157" spans="12:12">
      <c r="L157" s="34"/>
    </row>
    <row r="158" spans="12:12">
      <c r="L158" s="34"/>
    </row>
    <row r="159" spans="12:12">
      <c r="L159" s="34"/>
    </row>
    <row r="160" spans="12:12">
      <c r="L160" s="34"/>
    </row>
    <row r="161" spans="3:12">
      <c r="L161" s="34"/>
    </row>
    <row r="162" spans="3:12">
      <c r="L162" s="34"/>
    </row>
    <row r="163" spans="3:12">
      <c r="L163" s="34"/>
    </row>
    <row r="164" spans="3:12">
      <c r="C164" s="401"/>
      <c r="D164" s="401"/>
      <c r="E164" s="401"/>
      <c r="F164" s="401"/>
      <c r="I164" s="401"/>
      <c r="J164" s="401"/>
    </row>
    <row r="166" spans="3:12">
      <c r="C166" s="401"/>
      <c r="D166" s="401"/>
      <c r="E166" s="401"/>
      <c r="F166" s="401"/>
      <c r="I166" s="401"/>
      <c r="J166" s="401"/>
    </row>
    <row r="167" spans="3:12">
      <c r="C167" s="401"/>
      <c r="D167" s="401"/>
      <c r="E167" s="401"/>
      <c r="F167" s="401"/>
      <c r="I167" s="401"/>
      <c r="J167" s="401"/>
    </row>
    <row r="168" spans="3:12">
      <c r="C168" s="401"/>
      <c r="D168" s="401"/>
      <c r="E168" s="401"/>
      <c r="F168" s="401"/>
      <c r="I168" s="401"/>
      <c r="J168" s="401"/>
    </row>
    <row r="169" spans="3:12">
      <c r="C169" s="401"/>
      <c r="D169" s="401"/>
      <c r="E169" s="401"/>
      <c r="F169" s="401"/>
      <c r="I169" s="401"/>
      <c r="J169" s="401"/>
    </row>
    <row r="183" spans="3:3">
      <c r="C183" s="4"/>
    </row>
    <row r="184" spans="3:3">
      <c r="C184" s="4"/>
    </row>
  </sheetData>
  <mergeCells count="35">
    <mergeCell ref="C75:F75"/>
    <mergeCell ref="I75:J75"/>
    <mergeCell ref="C66:F66"/>
    <mergeCell ref="I66:J66"/>
    <mergeCell ref="C69:F69"/>
    <mergeCell ref="I69:J69"/>
    <mergeCell ref="C70:F70"/>
    <mergeCell ref="I70:J70"/>
    <mergeCell ref="C68:F68"/>
    <mergeCell ref="I68:J68"/>
    <mergeCell ref="C73:F73"/>
    <mergeCell ref="I73:J73"/>
    <mergeCell ref="C74:F74"/>
    <mergeCell ref="I74:J74"/>
    <mergeCell ref="C168:F168"/>
    <mergeCell ref="I168:J168"/>
    <mergeCell ref="C169:F169"/>
    <mergeCell ref="I169:J169"/>
    <mergeCell ref="C164:F164"/>
    <mergeCell ref="I164:J164"/>
    <mergeCell ref="C166:F166"/>
    <mergeCell ref="I166:J166"/>
    <mergeCell ref="C167:F167"/>
    <mergeCell ref="I167:J167"/>
    <mergeCell ref="B13:K13"/>
    <mergeCell ref="B4:D12"/>
    <mergeCell ref="E5:I5"/>
    <mergeCell ref="E6:I6"/>
    <mergeCell ref="E11:I11"/>
    <mergeCell ref="E8:I8"/>
    <mergeCell ref="B17:J17"/>
    <mergeCell ref="E18:I18"/>
    <mergeCell ref="C26:E26"/>
    <mergeCell ref="C61:K61"/>
    <mergeCell ref="F25:J25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3:X83"/>
  <sheetViews>
    <sheetView showGridLines="0" view="pageBreakPreview" topLeftCell="A4" zoomScale="55" zoomScaleNormal="40" zoomScaleSheetLayoutView="55" workbookViewId="0">
      <pane xSplit="3" topLeftCell="D1" activePane="topRight" state="frozen"/>
      <selection activeCell="A34" sqref="A34"/>
      <selection pane="topRight" activeCell="O71" sqref="O71:R78"/>
    </sheetView>
  </sheetViews>
  <sheetFormatPr baseColWidth="10" defaultColWidth="11.44140625" defaultRowHeight="13.2"/>
  <cols>
    <col min="1" max="1" width="4.5546875" style="31" customWidth="1"/>
    <col min="2" max="2" width="6.33203125" style="306" bestFit="1" customWidth="1"/>
    <col min="3" max="3" width="78.6640625" style="40" bestFit="1" customWidth="1"/>
    <col min="4" max="4" width="11.6640625" style="38" customWidth="1"/>
    <col min="5" max="5" width="12.33203125" style="38" customWidth="1"/>
    <col min="6" max="6" width="17.88671875" style="38" customWidth="1"/>
    <col min="7" max="7" width="23.33203125" style="38" customWidth="1"/>
    <col min="8" max="8" width="18.44140625" style="41" bestFit="1" customWidth="1"/>
    <col min="9" max="9" width="11.6640625" style="41" customWidth="1"/>
    <col min="10" max="10" width="23.5546875" style="41" bestFit="1" customWidth="1"/>
    <col min="11" max="11" width="21" style="39" customWidth="1"/>
    <col min="12" max="12" width="19.5546875" style="39" customWidth="1"/>
    <col min="13" max="13" width="19" style="39" customWidth="1"/>
    <col min="14" max="15" width="23.88671875" style="39" customWidth="1"/>
    <col min="16" max="16" width="21.33203125" style="39" customWidth="1"/>
    <col min="17" max="17" width="17.6640625" style="39" customWidth="1"/>
    <col min="18" max="18" width="15.5546875" style="39" customWidth="1"/>
    <col min="19" max="19" width="16.109375" style="39" customWidth="1"/>
    <col min="20" max="20" width="23.88671875" style="39" customWidth="1"/>
    <col min="21" max="21" width="2" style="31" customWidth="1"/>
    <col min="22" max="22" width="16.44140625" style="31" bestFit="1" customWidth="1"/>
    <col min="23" max="23" width="19.44140625" style="31" bestFit="1" customWidth="1"/>
    <col min="24" max="24" width="18.33203125" style="31" bestFit="1" customWidth="1"/>
    <col min="25" max="16384" width="11.44140625" style="31"/>
  </cols>
  <sheetData>
    <row r="3" spans="2:21">
      <c r="B3" s="454"/>
      <c r="C3" s="455"/>
      <c r="D3" s="456"/>
      <c r="E3" s="80"/>
      <c r="F3" s="80"/>
      <c r="G3" s="80"/>
      <c r="H3" s="81"/>
      <c r="I3" s="81"/>
      <c r="J3" s="81"/>
      <c r="K3" s="82"/>
      <c r="L3" s="82"/>
      <c r="M3" s="82"/>
      <c r="N3" s="82"/>
      <c r="O3" s="82"/>
      <c r="P3" s="90"/>
      <c r="Q3" s="82"/>
      <c r="R3" s="82"/>
      <c r="S3" s="82"/>
      <c r="T3" s="90"/>
    </row>
    <row r="4" spans="2:21" ht="21">
      <c r="B4" s="457"/>
      <c r="C4" s="458"/>
      <c r="D4" s="459"/>
      <c r="E4" s="463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5"/>
      <c r="Q4" s="466"/>
      <c r="R4" s="466"/>
      <c r="T4" s="91"/>
    </row>
    <row r="5" spans="2:21" ht="21">
      <c r="B5" s="457"/>
      <c r="C5" s="458"/>
      <c r="D5" s="459"/>
      <c r="E5" s="133"/>
      <c r="F5" s="133"/>
      <c r="G5" s="133"/>
      <c r="H5" s="134"/>
      <c r="I5" s="134"/>
      <c r="J5" s="134"/>
      <c r="K5" s="135"/>
      <c r="L5" s="135"/>
      <c r="M5" s="135"/>
      <c r="N5" s="135"/>
      <c r="O5" s="135"/>
      <c r="P5" s="154"/>
      <c r="Q5" s="152"/>
      <c r="R5" s="167" t="s">
        <v>68</v>
      </c>
      <c r="S5" s="147"/>
      <c r="T5" s="149" t="s">
        <v>197</v>
      </c>
    </row>
    <row r="6" spans="2:21" ht="21">
      <c r="B6" s="457"/>
      <c r="C6" s="458"/>
      <c r="D6" s="459"/>
      <c r="E6" s="463" t="s">
        <v>56</v>
      </c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5"/>
      <c r="Q6" s="152"/>
      <c r="R6" s="167" t="s">
        <v>69</v>
      </c>
      <c r="S6" s="147"/>
      <c r="T6" s="150" t="s">
        <v>71</v>
      </c>
    </row>
    <row r="7" spans="2:21" ht="21.6" thickBot="1">
      <c r="B7" s="457"/>
      <c r="C7" s="458"/>
      <c r="D7" s="459"/>
      <c r="E7" s="133"/>
      <c r="F7" s="133"/>
      <c r="G7" s="133"/>
      <c r="H7" s="134"/>
      <c r="I7" s="134"/>
      <c r="J7" s="134"/>
      <c r="K7" s="135"/>
      <c r="L7" s="135"/>
      <c r="M7" s="135"/>
      <c r="N7" s="135"/>
      <c r="O7" s="135"/>
      <c r="P7" s="153"/>
      <c r="Q7" s="152"/>
      <c r="R7" s="167" t="s">
        <v>70</v>
      </c>
      <c r="S7" s="148"/>
      <c r="T7" s="151">
        <v>46213</v>
      </c>
    </row>
    <row r="8" spans="2:21" ht="21.6" thickBot="1">
      <c r="B8" s="457"/>
      <c r="C8" s="458"/>
      <c r="D8" s="458"/>
      <c r="E8" s="467" t="s">
        <v>59</v>
      </c>
      <c r="F8" s="468"/>
      <c r="G8" s="468"/>
      <c r="H8" s="468"/>
      <c r="I8" s="468"/>
      <c r="J8" s="468"/>
      <c r="K8" s="307" t="s">
        <v>99</v>
      </c>
      <c r="L8" s="271">
        <f>+'CARATULA EP '!E19</f>
        <v>1</v>
      </c>
      <c r="M8" s="257"/>
      <c r="N8" s="257"/>
      <c r="O8" s="257"/>
      <c r="P8" s="258"/>
      <c r="Q8" s="147"/>
      <c r="R8" s="167" t="s">
        <v>73</v>
      </c>
      <c r="S8" s="167"/>
      <c r="T8" s="166" t="s">
        <v>74</v>
      </c>
    </row>
    <row r="9" spans="2:21">
      <c r="B9" s="460"/>
      <c r="C9" s="461"/>
      <c r="D9" s="462"/>
      <c r="E9" s="83"/>
      <c r="F9" s="83"/>
      <c r="G9" s="83"/>
      <c r="H9" s="84"/>
      <c r="I9" s="84"/>
      <c r="J9" s="84"/>
      <c r="K9" s="85"/>
      <c r="L9" s="85"/>
      <c r="M9" s="85"/>
      <c r="N9" s="85"/>
      <c r="O9" s="85"/>
      <c r="P9" s="92"/>
      <c r="Q9" s="85"/>
      <c r="R9" s="85"/>
      <c r="S9" s="85"/>
      <c r="T9" s="92"/>
    </row>
    <row r="11" spans="2:21" ht="17.399999999999999">
      <c r="C11" s="136" t="s">
        <v>18</v>
      </c>
      <c r="D11" s="452">
        <f>'CARATULA EP '!E19</f>
        <v>1</v>
      </c>
      <c r="E11" s="453"/>
      <c r="H11" s="38"/>
      <c r="I11" s="38"/>
      <c r="J11" s="38"/>
    </row>
    <row r="12" spans="2:21" ht="17.399999999999999">
      <c r="C12" s="136" t="s">
        <v>19</v>
      </c>
      <c r="D12" s="436">
        <f>'CARATULA EP '!D21</f>
        <v>44977</v>
      </c>
      <c r="E12" s="437"/>
      <c r="H12" s="38"/>
      <c r="I12" s="38"/>
      <c r="J12" s="38"/>
    </row>
    <row r="13" spans="2:21" ht="15" thickBot="1">
      <c r="C13" s="64"/>
      <c r="D13" s="63"/>
      <c r="E13" s="63"/>
      <c r="H13" s="38"/>
      <c r="I13" s="38"/>
      <c r="J13" s="38"/>
    </row>
    <row r="14" spans="2:21" ht="18" customHeight="1">
      <c r="B14" s="438" t="s">
        <v>43</v>
      </c>
      <c r="C14" s="439"/>
      <c r="D14" s="440" t="str">
        <f>+'CARATULA EP '!F26</f>
        <v>xxxxxxxxxxxxxxxxxxxxxxxxxxxxxxxxxxxxxxxxxxxxxxxx</v>
      </c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2"/>
      <c r="P14" s="443" t="s">
        <v>20</v>
      </c>
      <c r="Q14" s="444"/>
      <c r="R14" s="155">
        <f>+T15</f>
        <v>44977</v>
      </c>
      <c r="S14" s="156"/>
      <c r="T14" s="156"/>
      <c r="U14" s="157"/>
    </row>
    <row r="15" spans="2:21" ht="18" customHeight="1">
      <c r="B15" s="445" t="s">
        <v>45</v>
      </c>
      <c r="C15" s="446"/>
      <c r="D15" s="447" t="str">
        <f>+'CARATULA EP '!F23</f>
        <v>xxxxxx</v>
      </c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9"/>
      <c r="P15" s="450" t="s">
        <v>21</v>
      </c>
      <c r="Q15" s="451"/>
      <c r="R15" s="163">
        <f>'CARATULA EP '!D20</f>
        <v>44915</v>
      </c>
      <c r="S15" s="165" t="s">
        <v>72</v>
      </c>
      <c r="T15" s="164">
        <f>'CARATULA EP '!F20</f>
        <v>44977</v>
      </c>
      <c r="U15" s="158"/>
    </row>
    <row r="16" spans="2:21" ht="18" customHeight="1" thickBot="1">
      <c r="B16" s="413" t="s">
        <v>44</v>
      </c>
      <c r="C16" s="414"/>
      <c r="D16" s="415" t="s">
        <v>139</v>
      </c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6"/>
      <c r="P16" s="417" t="s">
        <v>22</v>
      </c>
      <c r="Q16" s="418"/>
      <c r="R16" s="159" t="s">
        <v>100</v>
      </c>
      <c r="S16" s="160"/>
      <c r="T16" s="160"/>
      <c r="U16" s="161"/>
    </row>
    <row r="17" spans="2:24" ht="13.8" thickBot="1"/>
    <row r="18" spans="2:24" ht="24.75" customHeight="1" thickTop="1" thickBot="1">
      <c r="D18" s="419" t="s">
        <v>23</v>
      </c>
      <c r="E18" s="420"/>
      <c r="F18" s="420"/>
      <c r="G18" s="420"/>
      <c r="H18" s="421" t="s">
        <v>125</v>
      </c>
      <c r="I18" s="422"/>
      <c r="J18" s="423"/>
      <c r="K18" s="420" t="s">
        <v>48</v>
      </c>
      <c r="L18" s="420"/>
      <c r="M18" s="424"/>
      <c r="N18" s="425" t="s">
        <v>24</v>
      </c>
      <c r="O18" s="426"/>
      <c r="P18" s="427"/>
      <c r="Q18" s="425" t="s">
        <v>58</v>
      </c>
      <c r="R18" s="426"/>
      <c r="S18" s="427"/>
      <c r="T18" s="31"/>
    </row>
    <row r="19" spans="2:24" s="79" customFormat="1" ht="15" customHeight="1">
      <c r="B19" s="75" t="s">
        <v>25</v>
      </c>
      <c r="C19" s="76" t="s">
        <v>26</v>
      </c>
      <c r="D19" s="77"/>
      <c r="E19" s="78"/>
      <c r="F19" s="428" t="s">
        <v>27</v>
      </c>
      <c r="G19" s="429"/>
      <c r="H19" s="87"/>
      <c r="I19" s="430" t="s">
        <v>27</v>
      </c>
      <c r="J19" s="431"/>
      <c r="K19" s="432" t="s">
        <v>28</v>
      </c>
      <c r="L19" s="433"/>
      <c r="M19" s="308" t="s">
        <v>29</v>
      </c>
      <c r="N19" s="434" t="s">
        <v>30</v>
      </c>
      <c r="O19" s="434"/>
      <c r="P19" s="308" t="s">
        <v>29</v>
      </c>
      <c r="Q19" s="435" t="s">
        <v>30</v>
      </c>
      <c r="R19" s="432"/>
      <c r="S19" s="433"/>
    </row>
    <row r="20" spans="2:24" s="74" customFormat="1" ht="45" customHeight="1" thickBot="1">
      <c r="B20" s="71"/>
      <c r="C20" s="72"/>
      <c r="D20" s="105" t="s">
        <v>31</v>
      </c>
      <c r="E20" s="106" t="s">
        <v>33</v>
      </c>
      <c r="F20" s="106" t="s">
        <v>27</v>
      </c>
      <c r="G20" s="107" t="s">
        <v>32</v>
      </c>
      <c r="H20" s="108" t="s">
        <v>33</v>
      </c>
      <c r="I20" s="109" t="s">
        <v>34</v>
      </c>
      <c r="J20" s="110" t="s">
        <v>32</v>
      </c>
      <c r="K20" s="273" t="s">
        <v>35</v>
      </c>
      <c r="L20" s="111" t="s">
        <v>128</v>
      </c>
      <c r="M20" s="111" t="s">
        <v>124</v>
      </c>
      <c r="N20" s="111" t="s">
        <v>35</v>
      </c>
      <c r="O20" s="111" t="str">
        <f>L20</f>
        <v>Anterior EDP N°0</v>
      </c>
      <c r="P20" s="269" t="str">
        <f>M20</f>
        <v>E.P. N° 01</v>
      </c>
      <c r="Q20" s="112" t="s">
        <v>50</v>
      </c>
      <c r="R20" s="112" t="s">
        <v>51</v>
      </c>
      <c r="S20" s="112" t="s">
        <v>52</v>
      </c>
      <c r="T20" s="73" t="s">
        <v>53</v>
      </c>
      <c r="V20" s="260" t="s">
        <v>118</v>
      </c>
    </row>
    <row r="21" spans="2:24" s="42" customFormat="1" ht="21.75" customHeight="1">
      <c r="B21" s="65" t="s">
        <v>36</v>
      </c>
      <c r="C21" s="66" t="s">
        <v>23</v>
      </c>
      <c r="D21" s="66"/>
      <c r="E21" s="66"/>
      <c r="F21" s="66"/>
      <c r="G21" s="86">
        <f>SUM(G23:G46)</f>
        <v>7282646</v>
      </c>
      <c r="H21" s="88"/>
      <c r="I21" s="43"/>
      <c r="J21" s="89">
        <f>+J23+J25+J31+J42+J32+J33</f>
        <v>7809381.2999999998</v>
      </c>
      <c r="K21" s="131"/>
      <c r="L21" s="131"/>
      <c r="M21" s="126"/>
      <c r="N21" s="126">
        <f>SUM(N23:N46)</f>
        <v>9793669.3000000007</v>
      </c>
      <c r="O21" s="126">
        <f>SUM(O23:O46)</f>
        <v>0</v>
      </c>
      <c r="P21" s="268">
        <f>+P23+P25+P30+P31+P32+P35+P42+P37+P34</f>
        <v>9793669.3000000007</v>
      </c>
      <c r="Q21" s="264"/>
      <c r="R21" s="122"/>
      <c r="S21" s="122"/>
      <c r="T21" s="126">
        <f>SUM(T23:T46)</f>
        <v>0</v>
      </c>
      <c r="V21" s="261"/>
      <c r="W21" s="297"/>
      <c r="X21" s="297"/>
    </row>
    <row r="22" spans="2:24" s="42" customFormat="1" ht="21.75" customHeight="1">
      <c r="B22" s="168">
        <v>1</v>
      </c>
      <c r="C22" s="169" t="s">
        <v>76</v>
      </c>
      <c r="D22" s="137"/>
      <c r="E22" s="137"/>
      <c r="F22" s="138"/>
      <c r="G22" s="139"/>
      <c r="H22" s="140"/>
      <c r="I22" s="141"/>
      <c r="J22" s="142"/>
      <c r="K22" s="143"/>
      <c r="L22" s="143"/>
      <c r="M22" s="144"/>
      <c r="N22" s="144"/>
      <c r="O22" s="144"/>
      <c r="P22" s="265"/>
      <c r="Q22" s="145"/>
      <c r="R22" s="145"/>
      <c r="S22" s="145"/>
      <c r="T22" s="144"/>
      <c r="V22" s="261"/>
    </row>
    <row r="23" spans="2:24" ht="24" customHeight="1">
      <c r="B23" s="174">
        <v>1.1000000000000001</v>
      </c>
      <c r="C23" s="174" t="s">
        <v>77</v>
      </c>
      <c r="D23" s="176" t="s">
        <v>94</v>
      </c>
      <c r="E23" s="173">
        <v>110</v>
      </c>
      <c r="F23" s="178">
        <v>30379</v>
      </c>
      <c r="G23" s="178">
        <f>E23*F23</f>
        <v>3341690</v>
      </c>
      <c r="H23" s="255">
        <f>+'NOC-1'!L11</f>
        <v>150</v>
      </c>
      <c r="I23" s="178"/>
      <c r="J23" s="256">
        <f>+H23*F23</f>
        <v>4556850</v>
      </c>
      <c r="K23" s="254">
        <f>+L23+M23</f>
        <v>150</v>
      </c>
      <c r="L23" s="254">
        <v>0</v>
      </c>
      <c r="M23" s="173">
        <v>150</v>
      </c>
      <c r="N23" s="178">
        <f>+O23+P23</f>
        <v>4556850</v>
      </c>
      <c r="O23" s="178">
        <v>0</v>
      </c>
      <c r="P23" s="263">
        <f>M23*F23</f>
        <v>4556850</v>
      </c>
      <c r="Q23" s="266">
        <f>+O23/G$23</f>
        <v>0</v>
      </c>
      <c r="R23" s="266">
        <f>+N23/J$23</f>
        <v>1</v>
      </c>
      <c r="S23" s="266">
        <f>+P23/J$23</f>
        <v>1</v>
      </c>
      <c r="T23" s="259">
        <f>+J23-N23</f>
        <v>0</v>
      </c>
      <c r="V23" s="262">
        <f>+H23-K23</f>
        <v>0</v>
      </c>
      <c r="W23" s="304">
        <f>+V23+K23</f>
        <v>150</v>
      </c>
      <c r="X23" s="299"/>
    </row>
    <row r="24" spans="2:24" ht="24" customHeight="1">
      <c r="B24" s="174">
        <v>1.2</v>
      </c>
      <c r="C24" s="174" t="s">
        <v>78</v>
      </c>
      <c r="D24" s="176" t="s">
        <v>94</v>
      </c>
      <c r="E24" s="173">
        <v>0</v>
      </c>
      <c r="F24" s="178">
        <v>22998</v>
      </c>
      <c r="G24" s="178">
        <f t="shared" ref="G24:G46" si="0">E24*F24</f>
        <v>0</v>
      </c>
      <c r="H24" s="255"/>
      <c r="I24" s="178"/>
      <c r="J24" s="256"/>
      <c r="K24" s="173">
        <f>+L24+M24</f>
        <v>0</v>
      </c>
      <c r="L24" s="254">
        <v>0</v>
      </c>
      <c r="M24" s="173">
        <v>0</v>
      </c>
      <c r="N24" s="178">
        <f>+K24*F24</f>
        <v>0</v>
      </c>
      <c r="O24" s="178">
        <f>+F24*L24</f>
        <v>0</v>
      </c>
      <c r="P24" s="263">
        <f>M24*F24</f>
        <v>0</v>
      </c>
      <c r="Q24" s="266">
        <f>+O24/G$23</f>
        <v>0</v>
      </c>
      <c r="R24" s="266">
        <f t="shared" ref="R24:R27" si="1">+N24/G$23</f>
        <v>0</v>
      </c>
      <c r="S24" s="266">
        <f t="shared" ref="S24:S28" si="2">+P24/G$23</f>
        <v>0</v>
      </c>
      <c r="T24" s="259">
        <f t="shared" ref="T24:T25" si="3">+J24-N24</f>
        <v>0</v>
      </c>
      <c r="V24" s="262">
        <f t="shared" ref="V24:V46" si="4">+H24-K24</f>
        <v>0</v>
      </c>
    </row>
    <row r="25" spans="2:24" ht="24" customHeight="1">
      <c r="B25" s="174">
        <v>1.3</v>
      </c>
      <c r="C25" s="174" t="s">
        <v>79</v>
      </c>
      <c r="D25" s="176" t="s">
        <v>94</v>
      </c>
      <c r="E25" s="173">
        <v>120</v>
      </c>
      <c r="F25" s="178">
        <v>14773</v>
      </c>
      <c r="G25" s="178">
        <f t="shared" si="0"/>
        <v>1772760</v>
      </c>
      <c r="H25" s="255">
        <f>+'NOC-1'!L13</f>
        <v>160</v>
      </c>
      <c r="I25" s="178"/>
      <c r="J25" s="256">
        <f t="shared" ref="J25" si="5">+H25*F25</f>
        <v>2363680</v>
      </c>
      <c r="K25" s="254">
        <f>+L25+M25</f>
        <v>160</v>
      </c>
      <c r="L25" s="254">
        <v>0</v>
      </c>
      <c r="M25" s="173">
        <v>160</v>
      </c>
      <c r="N25" s="178">
        <f>+O25+P25</f>
        <v>2363680</v>
      </c>
      <c r="O25" s="178">
        <f>+F25*L25</f>
        <v>0</v>
      </c>
      <c r="P25" s="263">
        <f>M25*F25</f>
        <v>2363680</v>
      </c>
      <c r="Q25" s="266">
        <f>+O25/F$25</f>
        <v>0</v>
      </c>
      <c r="R25" s="266">
        <f>+N25/J$25</f>
        <v>1</v>
      </c>
      <c r="S25" s="266">
        <f>+P25/J$25</f>
        <v>1</v>
      </c>
      <c r="T25" s="259">
        <f t="shared" si="3"/>
        <v>0</v>
      </c>
      <c r="V25" s="262">
        <f t="shared" si="4"/>
        <v>0</v>
      </c>
    </row>
    <row r="26" spans="2:24" ht="24" customHeight="1">
      <c r="B26" s="170">
        <v>2</v>
      </c>
      <c r="C26" s="169" t="s">
        <v>80</v>
      </c>
      <c r="D26" s="171"/>
      <c r="E26" s="175"/>
      <c r="F26" s="138"/>
      <c r="G26" s="139"/>
      <c r="H26" s="140"/>
      <c r="I26" s="141"/>
      <c r="J26" s="142"/>
      <c r="K26" s="143"/>
      <c r="L26" s="143"/>
      <c r="M26" s="143"/>
      <c r="N26" s="144"/>
      <c r="O26" s="144"/>
      <c r="P26" s="265"/>
      <c r="Q26" s="145"/>
      <c r="R26" s="145"/>
      <c r="S26" s="145"/>
      <c r="T26" s="144"/>
      <c r="V26" s="262">
        <f t="shared" si="4"/>
        <v>0</v>
      </c>
      <c r="W26" s="298"/>
    </row>
    <row r="27" spans="2:24" ht="24" customHeight="1">
      <c r="B27" s="174">
        <v>2.1</v>
      </c>
      <c r="C27" s="174" t="s">
        <v>81</v>
      </c>
      <c r="D27" s="176" t="s">
        <v>95</v>
      </c>
      <c r="E27" s="173">
        <v>0</v>
      </c>
      <c r="F27" s="178">
        <v>783594</v>
      </c>
      <c r="G27" s="178">
        <f t="shared" si="0"/>
        <v>0</v>
      </c>
      <c r="H27" s="132"/>
      <c r="I27" s="93"/>
      <c r="J27" s="114"/>
      <c r="K27" s="173">
        <v>0</v>
      </c>
      <c r="L27" s="173">
        <v>0</v>
      </c>
      <c r="M27" s="173">
        <v>0</v>
      </c>
      <c r="N27" s="178">
        <f>+K27*F27</f>
        <v>0</v>
      </c>
      <c r="O27" s="178">
        <f>+F27*L27</f>
        <v>0</v>
      </c>
      <c r="P27" s="263">
        <f>M27*F27</f>
        <v>0</v>
      </c>
      <c r="Q27" s="319">
        <v>0</v>
      </c>
      <c r="R27" s="266">
        <f t="shared" si="1"/>
        <v>0</v>
      </c>
      <c r="S27" s="266">
        <f t="shared" si="2"/>
        <v>0</v>
      </c>
      <c r="T27" s="259">
        <f>+G27-N27</f>
        <v>0</v>
      </c>
      <c r="V27" s="262">
        <f t="shared" si="4"/>
        <v>0</v>
      </c>
    </row>
    <row r="28" spans="2:24" ht="24" customHeight="1">
      <c r="B28" s="174">
        <v>2.2000000000000002</v>
      </c>
      <c r="C28" s="174" t="s">
        <v>82</v>
      </c>
      <c r="D28" s="176" t="s">
        <v>95</v>
      </c>
      <c r="E28" s="173">
        <v>0</v>
      </c>
      <c r="F28" s="178">
        <v>844721</v>
      </c>
      <c r="G28" s="178">
        <f t="shared" si="0"/>
        <v>0</v>
      </c>
      <c r="H28" s="132"/>
      <c r="I28" s="93"/>
      <c r="J28" s="256"/>
      <c r="K28" s="254">
        <f>+L28+M28</f>
        <v>0</v>
      </c>
      <c r="L28" s="173">
        <v>0</v>
      </c>
      <c r="M28" s="173">
        <v>0</v>
      </c>
      <c r="N28" s="178">
        <f>+O28+P28</f>
        <v>0</v>
      </c>
      <c r="O28" s="178">
        <f>+F28*L28</f>
        <v>0</v>
      </c>
      <c r="P28" s="263">
        <f>M28*F28</f>
        <v>0</v>
      </c>
      <c r="Q28" s="266">
        <v>0</v>
      </c>
      <c r="R28" s="266">
        <v>0</v>
      </c>
      <c r="S28" s="266">
        <f t="shared" si="2"/>
        <v>0</v>
      </c>
      <c r="T28" s="259">
        <f>+G28-N28</f>
        <v>0</v>
      </c>
      <c r="V28" s="262">
        <f t="shared" si="4"/>
        <v>0</v>
      </c>
    </row>
    <row r="29" spans="2:24" ht="24" customHeight="1">
      <c r="B29" s="168">
        <v>3</v>
      </c>
      <c r="C29" s="169" t="s">
        <v>83</v>
      </c>
      <c r="D29" s="137"/>
      <c r="E29" s="175"/>
      <c r="F29" s="138"/>
      <c r="G29" s="139"/>
      <c r="H29" s="140"/>
      <c r="I29" s="141"/>
      <c r="J29" s="142"/>
      <c r="K29" s="143"/>
      <c r="L29" s="143"/>
      <c r="M29" s="143"/>
      <c r="N29" s="144"/>
      <c r="O29" s="144"/>
      <c r="P29" s="265"/>
      <c r="Q29" s="145"/>
      <c r="R29" s="145"/>
      <c r="S29" s="145"/>
      <c r="T29" s="144"/>
      <c r="V29" s="262">
        <f t="shared" si="4"/>
        <v>0</v>
      </c>
    </row>
    <row r="30" spans="2:24" ht="24" customHeight="1">
      <c r="B30" s="174">
        <v>3.1</v>
      </c>
      <c r="C30" s="174" t="s">
        <v>84</v>
      </c>
      <c r="D30" s="176" t="s">
        <v>95</v>
      </c>
      <c r="E30" s="173">
        <v>0</v>
      </c>
      <c r="F30" s="178">
        <v>17374</v>
      </c>
      <c r="G30" s="178">
        <f t="shared" si="0"/>
        <v>0</v>
      </c>
      <c r="H30" s="255">
        <f>+'NOC-1'!L18</f>
        <v>0</v>
      </c>
      <c r="I30" s="93"/>
      <c r="J30" s="256"/>
      <c r="K30" s="254">
        <f t="shared" ref="K30:K37" si="6">+L30+M30</f>
        <v>0</v>
      </c>
      <c r="L30" s="173">
        <v>0</v>
      </c>
      <c r="M30" s="173">
        <v>0</v>
      </c>
      <c r="N30" s="178">
        <f>+O30+P30</f>
        <v>0</v>
      </c>
      <c r="O30" s="178">
        <f t="shared" ref="O30:O33" si="7">+F30*L30</f>
        <v>0</v>
      </c>
      <c r="P30" s="263">
        <f t="shared" ref="P30:P37" si="8">M30*F30</f>
        <v>0</v>
      </c>
      <c r="Q30" s="266">
        <v>0</v>
      </c>
      <c r="R30" s="266">
        <v>0</v>
      </c>
      <c r="S30" s="266">
        <v>0</v>
      </c>
      <c r="T30" s="259">
        <f>+J30-N30</f>
        <v>0</v>
      </c>
      <c r="V30" s="262">
        <f t="shared" si="4"/>
        <v>0</v>
      </c>
    </row>
    <row r="31" spans="2:24" ht="24" customHeight="1">
      <c r="B31" s="174">
        <v>3.2</v>
      </c>
      <c r="C31" s="174" t="s">
        <v>85</v>
      </c>
      <c r="D31" s="176" t="s">
        <v>95</v>
      </c>
      <c r="E31" s="173">
        <v>6</v>
      </c>
      <c r="F31" s="178">
        <v>12826</v>
      </c>
      <c r="G31" s="178">
        <f t="shared" si="0"/>
        <v>76956</v>
      </c>
      <c r="H31" s="255">
        <f>+'NOC-1'!L19</f>
        <v>8</v>
      </c>
      <c r="I31" s="178"/>
      <c r="J31" s="256">
        <f>+H31*F31</f>
        <v>102608</v>
      </c>
      <c r="K31" s="254">
        <f t="shared" si="6"/>
        <v>8</v>
      </c>
      <c r="L31" s="254">
        <v>0</v>
      </c>
      <c r="M31" s="173">
        <v>8</v>
      </c>
      <c r="N31" s="178">
        <f>+O31+P31</f>
        <v>102608</v>
      </c>
      <c r="O31" s="178">
        <f t="shared" si="7"/>
        <v>0</v>
      </c>
      <c r="P31" s="263">
        <f t="shared" si="8"/>
        <v>102608</v>
      </c>
      <c r="Q31" s="266">
        <f>+O31/G$31</f>
        <v>0</v>
      </c>
      <c r="R31" s="266">
        <f>+N31/J$31</f>
        <v>1</v>
      </c>
      <c r="S31" s="266">
        <f>+P31/J$31</f>
        <v>1</v>
      </c>
      <c r="T31" s="259">
        <f t="shared" ref="T31:T37" si="9">+J31-N31</f>
        <v>0</v>
      </c>
      <c r="V31" s="262">
        <f t="shared" si="4"/>
        <v>0</v>
      </c>
    </row>
    <row r="32" spans="2:24" ht="24" customHeight="1">
      <c r="B32" s="174">
        <v>3.3</v>
      </c>
      <c r="C32" s="174" t="s">
        <v>86</v>
      </c>
      <c r="D32" s="176" t="s">
        <v>95</v>
      </c>
      <c r="E32" s="173">
        <v>6</v>
      </c>
      <c r="F32" s="178">
        <v>2664</v>
      </c>
      <c r="G32" s="178">
        <f t="shared" si="0"/>
        <v>15984</v>
      </c>
      <c r="H32" s="255">
        <f>+'NOC-1'!L20</f>
        <v>8</v>
      </c>
      <c r="I32" s="178"/>
      <c r="J32" s="256">
        <f>+H32*F32</f>
        <v>21312</v>
      </c>
      <c r="K32" s="254">
        <f t="shared" si="6"/>
        <v>8</v>
      </c>
      <c r="L32" s="254">
        <v>0</v>
      </c>
      <c r="M32" s="173">
        <v>8</v>
      </c>
      <c r="N32" s="178">
        <f>+O32+P32</f>
        <v>21312</v>
      </c>
      <c r="O32" s="178">
        <f t="shared" si="7"/>
        <v>0</v>
      </c>
      <c r="P32" s="263">
        <f t="shared" si="8"/>
        <v>21312</v>
      </c>
      <c r="Q32" s="266">
        <f t="shared" ref="Q32:Q37" si="10">+O32/F$25</f>
        <v>0</v>
      </c>
      <c r="R32" s="266">
        <f>+N32/J$32</f>
        <v>1</v>
      </c>
      <c r="S32" s="266">
        <f>+P32/J$32</f>
        <v>1</v>
      </c>
      <c r="T32" s="259">
        <f t="shared" si="9"/>
        <v>0</v>
      </c>
      <c r="V32" s="262">
        <f t="shared" si="4"/>
        <v>0</v>
      </c>
    </row>
    <row r="33" spans="2:24" ht="24" customHeight="1">
      <c r="B33" s="174">
        <v>3.4</v>
      </c>
      <c r="C33" s="174" t="s">
        <v>87</v>
      </c>
      <c r="D33" s="176" t="s">
        <v>95</v>
      </c>
      <c r="E33" s="173">
        <v>0</v>
      </c>
      <c r="F33" s="178">
        <v>7661</v>
      </c>
      <c r="G33" s="178">
        <f>E33*F33</f>
        <v>0</v>
      </c>
      <c r="H33" s="255">
        <f>+'NOC-1'!L21</f>
        <v>0</v>
      </c>
      <c r="I33" s="178"/>
      <c r="J33" s="256"/>
      <c r="K33" s="254">
        <f t="shared" si="6"/>
        <v>0</v>
      </c>
      <c r="L33" s="173">
        <v>0</v>
      </c>
      <c r="M33" s="173">
        <v>0</v>
      </c>
      <c r="N33" s="178">
        <f t="shared" ref="N33" si="11">+K33*F33</f>
        <v>0</v>
      </c>
      <c r="O33" s="178">
        <f t="shared" si="7"/>
        <v>0</v>
      </c>
      <c r="P33" s="263">
        <f t="shared" si="8"/>
        <v>0</v>
      </c>
      <c r="Q33" s="266">
        <f t="shared" si="10"/>
        <v>0</v>
      </c>
      <c r="R33" s="266">
        <f>+N33/G$23</f>
        <v>0</v>
      </c>
      <c r="S33" s="266">
        <v>0</v>
      </c>
      <c r="T33" s="259">
        <f t="shared" si="9"/>
        <v>0</v>
      </c>
      <c r="V33" s="262">
        <f t="shared" si="4"/>
        <v>0</v>
      </c>
    </row>
    <row r="34" spans="2:24" ht="24" customHeight="1">
      <c r="B34" s="312">
        <v>3.5</v>
      </c>
      <c r="C34" s="312" t="s">
        <v>130</v>
      </c>
      <c r="D34" s="176" t="s">
        <v>95</v>
      </c>
      <c r="E34" s="313">
        <v>6</v>
      </c>
      <c r="F34" s="178">
        <v>248036</v>
      </c>
      <c r="G34" s="178">
        <f>+F34*E34</f>
        <v>1488216</v>
      </c>
      <c r="H34" s="255">
        <f>+'NOC-1'!L22</f>
        <v>8</v>
      </c>
      <c r="I34" s="314"/>
      <c r="J34" s="256">
        <f>+H34*F34</f>
        <v>1984288</v>
      </c>
      <c r="K34" s="254">
        <f t="shared" si="6"/>
        <v>8</v>
      </c>
      <c r="L34" s="173">
        <v>0</v>
      </c>
      <c r="M34" s="173">
        <v>8</v>
      </c>
      <c r="N34" s="178">
        <f t="shared" ref="N34:N37" si="12">+K34*F34</f>
        <v>1984288</v>
      </c>
      <c r="O34" s="178">
        <f t="shared" ref="O34:O37" si="13">+F34*L34</f>
        <v>0</v>
      </c>
      <c r="P34" s="315">
        <f t="shared" si="8"/>
        <v>1984288</v>
      </c>
      <c r="Q34" s="266">
        <f t="shared" si="10"/>
        <v>0</v>
      </c>
      <c r="R34" s="266">
        <f>+N34/J$34</f>
        <v>1</v>
      </c>
      <c r="S34" s="266">
        <f>+P34/J$34</f>
        <v>1</v>
      </c>
      <c r="T34" s="259">
        <f t="shared" si="9"/>
        <v>0</v>
      </c>
      <c r="V34" s="262">
        <f t="shared" si="4"/>
        <v>0</v>
      </c>
    </row>
    <row r="35" spans="2:24" ht="24" customHeight="1">
      <c r="B35" s="174">
        <v>3.6</v>
      </c>
      <c r="C35" s="174" t="s">
        <v>131</v>
      </c>
      <c r="D35" s="176" t="s">
        <v>95</v>
      </c>
      <c r="E35" s="173">
        <v>0</v>
      </c>
      <c r="F35" s="178">
        <v>127218</v>
      </c>
      <c r="G35" s="178">
        <f t="shared" si="0"/>
        <v>0</v>
      </c>
      <c r="H35" s="255">
        <f>+'NOC-1'!L23</f>
        <v>0</v>
      </c>
      <c r="I35" s="178"/>
      <c r="J35" s="256"/>
      <c r="K35" s="254">
        <f t="shared" si="6"/>
        <v>0</v>
      </c>
      <c r="L35" s="173">
        <v>0</v>
      </c>
      <c r="M35" s="173">
        <v>0</v>
      </c>
      <c r="N35" s="178">
        <f t="shared" si="12"/>
        <v>0</v>
      </c>
      <c r="O35" s="178">
        <f t="shared" si="13"/>
        <v>0</v>
      </c>
      <c r="P35" s="263">
        <f t="shared" si="8"/>
        <v>0</v>
      </c>
      <c r="Q35" s="266">
        <f t="shared" si="10"/>
        <v>0</v>
      </c>
      <c r="R35" s="266">
        <f>+N35/G$23</f>
        <v>0</v>
      </c>
      <c r="S35" s="266">
        <v>0</v>
      </c>
      <c r="T35" s="259">
        <f t="shared" si="9"/>
        <v>0</v>
      </c>
      <c r="V35" s="262">
        <f t="shared" si="4"/>
        <v>0</v>
      </c>
    </row>
    <row r="36" spans="2:24" ht="24" customHeight="1">
      <c r="B36" s="312">
        <v>3.7</v>
      </c>
      <c r="C36" s="312" t="s">
        <v>132</v>
      </c>
      <c r="D36" s="176" t="s">
        <v>95</v>
      </c>
      <c r="E36" s="313">
        <v>0</v>
      </c>
      <c r="F36" s="178">
        <v>61059</v>
      </c>
      <c r="G36" s="178">
        <f>+F36*E36</f>
        <v>0</v>
      </c>
      <c r="H36" s="255">
        <f>+'NOC-1'!L24</f>
        <v>0</v>
      </c>
      <c r="I36" s="314"/>
      <c r="J36" s="256"/>
      <c r="K36" s="254">
        <f t="shared" si="6"/>
        <v>0</v>
      </c>
      <c r="L36" s="173">
        <v>0</v>
      </c>
      <c r="M36" s="173">
        <v>0</v>
      </c>
      <c r="N36" s="178">
        <f t="shared" si="12"/>
        <v>0</v>
      </c>
      <c r="O36" s="178">
        <f t="shared" si="13"/>
        <v>0</v>
      </c>
      <c r="P36" s="263">
        <f t="shared" si="8"/>
        <v>0</v>
      </c>
      <c r="Q36" s="266">
        <f t="shared" si="10"/>
        <v>0</v>
      </c>
      <c r="R36" s="266">
        <f>+N36/G$23</f>
        <v>0</v>
      </c>
      <c r="S36" s="266">
        <v>0</v>
      </c>
      <c r="T36" s="259">
        <f t="shared" si="9"/>
        <v>0</v>
      </c>
      <c r="V36" s="262">
        <f t="shared" si="4"/>
        <v>0</v>
      </c>
    </row>
    <row r="37" spans="2:24" ht="24" customHeight="1">
      <c r="B37" s="174">
        <v>3.8</v>
      </c>
      <c r="C37" s="174" t="s">
        <v>133</v>
      </c>
      <c r="D37" s="176" t="s">
        <v>95</v>
      </c>
      <c r="E37" s="173">
        <v>0</v>
      </c>
      <c r="F37" s="178">
        <v>42702</v>
      </c>
      <c r="G37" s="178">
        <f t="shared" si="0"/>
        <v>0</v>
      </c>
      <c r="H37" s="255">
        <f>+'NOC-1'!L25</f>
        <v>0</v>
      </c>
      <c r="I37" s="178"/>
      <c r="J37" s="256"/>
      <c r="K37" s="254">
        <f t="shared" si="6"/>
        <v>0</v>
      </c>
      <c r="L37" s="173">
        <v>0</v>
      </c>
      <c r="M37" s="173">
        <v>0</v>
      </c>
      <c r="N37" s="178">
        <f t="shared" si="12"/>
        <v>0</v>
      </c>
      <c r="O37" s="178">
        <f t="shared" si="13"/>
        <v>0</v>
      </c>
      <c r="P37" s="263">
        <f t="shared" si="8"/>
        <v>0</v>
      </c>
      <c r="Q37" s="266">
        <f t="shared" si="10"/>
        <v>0</v>
      </c>
      <c r="R37" s="266">
        <f>+N37/G$23</f>
        <v>0</v>
      </c>
      <c r="S37" s="266">
        <v>0</v>
      </c>
      <c r="T37" s="259">
        <f t="shared" si="9"/>
        <v>0</v>
      </c>
      <c r="V37" s="262">
        <f t="shared" si="4"/>
        <v>0</v>
      </c>
    </row>
    <row r="38" spans="2:24" ht="24" customHeight="1">
      <c r="B38" s="168">
        <v>4</v>
      </c>
      <c r="C38" s="169" t="s">
        <v>88</v>
      </c>
      <c r="D38" s="137"/>
      <c r="E38" s="175"/>
      <c r="F38" s="138"/>
      <c r="G38" s="139"/>
      <c r="H38" s="146"/>
      <c r="I38" s="141"/>
      <c r="J38" s="142"/>
      <c r="K38" s="143"/>
      <c r="L38" s="143"/>
      <c r="M38" s="143"/>
      <c r="N38" s="144"/>
      <c r="O38" s="144"/>
      <c r="P38" s="265"/>
      <c r="Q38" s="145"/>
      <c r="R38" s="145"/>
      <c r="S38" s="145"/>
      <c r="T38" s="144"/>
      <c r="V38" s="262">
        <f t="shared" si="4"/>
        <v>0</v>
      </c>
    </row>
    <row r="39" spans="2:24" ht="24" customHeight="1">
      <c r="B39" s="174">
        <v>4.0999999999999996</v>
      </c>
      <c r="C39" s="174" t="s">
        <v>89</v>
      </c>
      <c r="D39" s="176" t="s">
        <v>96</v>
      </c>
      <c r="E39" s="173">
        <v>0</v>
      </c>
      <c r="F39" s="178">
        <v>0</v>
      </c>
      <c r="G39" s="178">
        <f t="shared" si="0"/>
        <v>0</v>
      </c>
      <c r="H39" s="255"/>
      <c r="I39" s="93"/>
      <c r="J39" s="256"/>
      <c r="K39" s="305">
        <f>+L39+M39</f>
        <v>0</v>
      </c>
      <c r="L39" s="305">
        <v>0</v>
      </c>
      <c r="M39" s="173">
        <v>0</v>
      </c>
      <c r="N39" s="178">
        <v>0</v>
      </c>
      <c r="O39" s="178">
        <v>0</v>
      </c>
      <c r="P39" s="263">
        <v>0</v>
      </c>
      <c r="Q39" s="266">
        <f>+O39/F$25</f>
        <v>0</v>
      </c>
      <c r="R39" s="266">
        <f>+N39/G$23</f>
        <v>0</v>
      </c>
      <c r="S39" s="266">
        <v>0</v>
      </c>
      <c r="T39" s="259">
        <f>+J39-N39</f>
        <v>0</v>
      </c>
      <c r="V39" s="262">
        <f t="shared" si="4"/>
        <v>0</v>
      </c>
      <c r="W39" s="298"/>
    </row>
    <row r="40" spans="2:24" ht="24" customHeight="1">
      <c r="B40" s="174">
        <v>4.2</v>
      </c>
      <c r="C40" s="174" t="s">
        <v>196</v>
      </c>
      <c r="D40" s="176" t="s">
        <v>96</v>
      </c>
      <c r="E40" s="320">
        <v>0.05</v>
      </c>
      <c r="F40" s="178">
        <f>+G40</f>
        <v>0</v>
      </c>
      <c r="G40" s="178">
        <f>E40*F39</f>
        <v>0</v>
      </c>
      <c r="H40" s="255"/>
      <c r="I40" s="93"/>
      <c r="J40" s="256"/>
      <c r="K40" s="305">
        <f>+L40+M40</f>
        <v>0</v>
      </c>
      <c r="L40" s="305">
        <v>0</v>
      </c>
      <c r="M40" s="173">
        <v>0</v>
      </c>
      <c r="N40" s="178">
        <v>0</v>
      </c>
      <c r="O40" s="178">
        <v>0</v>
      </c>
      <c r="P40" s="263">
        <f>+P39*3%</f>
        <v>0</v>
      </c>
      <c r="Q40" s="266">
        <f>+O40/F$25</f>
        <v>0</v>
      </c>
      <c r="R40" s="266">
        <f>+N40/G$23</f>
        <v>0</v>
      </c>
      <c r="S40" s="266">
        <v>0</v>
      </c>
      <c r="T40" s="259">
        <f>+J40-N40</f>
        <v>0</v>
      </c>
      <c r="V40" s="262">
        <f t="shared" si="4"/>
        <v>0</v>
      </c>
      <c r="W40" s="303">
        <f>+P39*3%</f>
        <v>0</v>
      </c>
    </row>
    <row r="41" spans="2:24" ht="24" customHeight="1">
      <c r="B41" s="168">
        <v>5</v>
      </c>
      <c r="C41" s="169" t="s">
        <v>90</v>
      </c>
      <c r="D41" s="177"/>
      <c r="E41" s="175"/>
      <c r="F41" s="138"/>
      <c r="G41" s="139"/>
      <c r="H41" s="146"/>
      <c r="I41" s="141"/>
      <c r="J41" s="142"/>
      <c r="K41" s="143"/>
      <c r="L41" s="143"/>
      <c r="M41" s="143"/>
      <c r="N41" s="144"/>
      <c r="O41" s="144"/>
      <c r="P41" s="265"/>
      <c r="Q41" s="145"/>
      <c r="R41" s="145"/>
      <c r="S41" s="145"/>
      <c r="T41" s="144"/>
      <c r="V41" s="262">
        <f t="shared" si="4"/>
        <v>0</v>
      </c>
    </row>
    <row r="42" spans="2:24" ht="24" customHeight="1">
      <c r="B42" s="174">
        <v>5.0999999999999996</v>
      </c>
      <c r="C42" s="174" t="s">
        <v>91</v>
      </c>
      <c r="D42" s="176" t="s">
        <v>61</v>
      </c>
      <c r="E42" s="311">
        <v>0</v>
      </c>
      <c r="F42" s="178">
        <v>1778910</v>
      </c>
      <c r="G42" s="178">
        <v>587040</v>
      </c>
      <c r="H42" s="255">
        <f>+'NOC-1'!L30</f>
        <v>0.43000000000000005</v>
      </c>
      <c r="I42" s="178"/>
      <c r="J42" s="256">
        <f>+H42*F42</f>
        <v>764931.3</v>
      </c>
      <c r="K42" s="254">
        <f t="shared" ref="K42" si="14">+L42+M42</f>
        <v>0.43</v>
      </c>
      <c r="L42" s="254">
        <v>0</v>
      </c>
      <c r="M42" s="173">
        <v>0.43</v>
      </c>
      <c r="N42" s="178">
        <f t="shared" ref="N42" si="15">+K42*F42</f>
        <v>764931.29999999993</v>
      </c>
      <c r="O42" s="178">
        <v>0</v>
      </c>
      <c r="P42" s="263">
        <f>+N42</f>
        <v>764931.29999999993</v>
      </c>
      <c r="Q42" s="266">
        <f>+O42/G$42</f>
        <v>0</v>
      </c>
      <c r="R42" s="266">
        <f>+N42/J$42</f>
        <v>0.99999999999999989</v>
      </c>
      <c r="S42" s="266">
        <f>+P42/J$42</f>
        <v>0.99999999999999989</v>
      </c>
      <c r="T42" s="259">
        <f t="shared" ref="T42" si="16">+J42-N42</f>
        <v>0</v>
      </c>
      <c r="V42" s="262">
        <f t="shared" si="4"/>
        <v>0</v>
      </c>
    </row>
    <row r="43" spans="2:24" ht="24" customHeight="1">
      <c r="B43" s="168">
        <v>6</v>
      </c>
      <c r="C43" s="169" t="s">
        <v>92</v>
      </c>
      <c r="D43" s="177"/>
      <c r="E43" s="175"/>
      <c r="F43" s="138"/>
      <c r="G43" s="139"/>
      <c r="H43" s="146"/>
      <c r="I43" s="141"/>
      <c r="J43" s="142"/>
      <c r="K43" s="143"/>
      <c r="L43" s="143"/>
      <c r="M43" s="143"/>
      <c r="N43" s="144"/>
      <c r="O43" s="144"/>
      <c r="P43" s="265"/>
      <c r="Q43" s="145"/>
      <c r="R43" s="145"/>
      <c r="S43" s="145"/>
      <c r="T43" s="144"/>
      <c r="V43" s="262">
        <f t="shared" si="4"/>
        <v>0</v>
      </c>
    </row>
    <row r="44" spans="2:24" ht="24" customHeight="1">
      <c r="B44" s="174">
        <v>6.1</v>
      </c>
      <c r="C44" s="174" t="s">
        <v>93</v>
      </c>
      <c r="D44" s="176" t="s">
        <v>96</v>
      </c>
      <c r="E44" s="173">
        <v>0</v>
      </c>
      <c r="F44" s="178">
        <v>40000000</v>
      </c>
      <c r="G44" s="178">
        <f>E44*F44</f>
        <v>0</v>
      </c>
      <c r="H44" s="255"/>
      <c r="I44" s="178"/>
      <c r="J44" s="256"/>
      <c r="K44" s="173">
        <v>0</v>
      </c>
      <c r="L44" s="173">
        <v>0</v>
      </c>
      <c r="M44" s="173">
        <v>0</v>
      </c>
      <c r="N44" s="178">
        <f>+K44*F44</f>
        <v>0</v>
      </c>
      <c r="O44" s="178">
        <f>+F44*L44</f>
        <v>0</v>
      </c>
      <c r="P44" s="263">
        <f>M44*F44</f>
        <v>0</v>
      </c>
      <c r="Q44" s="266">
        <f>+O44/F$42</f>
        <v>0</v>
      </c>
      <c r="R44" s="266">
        <f>+N44/G$42</f>
        <v>0</v>
      </c>
      <c r="S44" s="266">
        <v>0</v>
      </c>
      <c r="T44" s="259">
        <f>+J44-N44</f>
        <v>0</v>
      </c>
      <c r="V44" s="262">
        <f t="shared" si="4"/>
        <v>0</v>
      </c>
    </row>
    <row r="45" spans="2:24" ht="24" customHeight="1">
      <c r="B45" s="168">
        <v>7</v>
      </c>
      <c r="C45" s="169" t="s">
        <v>134</v>
      </c>
      <c r="D45" s="177"/>
      <c r="E45" s="175"/>
      <c r="F45" s="138"/>
      <c r="G45" s="139">
        <f t="shared" si="0"/>
        <v>0</v>
      </c>
      <c r="H45" s="146"/>
      <c r="I45" s="141"/>
      <c r="J45" s="142"/>
      <c r="K45" s="143"/>
      <c r="L45" s="143"/>
      <c r="M45" s="143"/>
      <c r="N45" s="144"/>
      <c r="O45" s="144"/>
      <c r="P45" s="265"/>
      <c r="Q45" s="145"/>
      <c r="R45" s="145"/>
      <c r="S45" s="145"/>
      <c r="T45" s="144"/>
      <c r="V45" s="262">
        <f t="shared" si="4"/>
        <v>0</v>
      </c>
    </row>
    <row r="46" spans="2:24" ht="24" customHeight="1">
      <c r="B46" s="174">
        <v>7.1</v>
      </c>
      <c r="C46" s="174" t="s">
        <v>135</v>
      </c>
      <c r="D46" s="176" t="s">
        <v>96</v>
      </c>
      <c r="E46" s="173">
        <v>0</v>
      </c>
      <c r="F46" s="178">
        <v>3387136</v>
      </c>
      <c r="G46" s="178">
        <f t="shared" si="0"/>
        <v>0</v>
      </c>
      <c r="H46" s="255"/>
      <c r="I46" s="178"/>
      <c r="J46" s="256"/>
      <c r="K46" s="173">
        <v>0</v>
      </c>
      <c r="L46" s="173">
        <v>0</v>
      </c>
      <c r="M46" s="173">
        <v>0</v>
      </c>
      <c r="N46" s="178">
        <f>+K46*F46</f>
        <v>0</v>
      </c>
      <c r="O46" s="178">
        <f>+F46*L46</f>
        <v>0</v>
      </c>
      <c r="P46" s="263">
        <f>M46*F46</f>
        <v>0</v>
      </c>
      <c r="Q46" s="266">
        <f>+O46/F$46</f>
        <v>0</v>
      </c>
      <c r="R46" s="266">
        <f>+N46/G$42</f>
        <v>0</v>
      </c>
      <c r="S46" s="266">
        <v>0</v>
      </c>
      <c r="T46" s="259">
        <f>+J46-N46</f>
        <v>0</v>
      </c>
      <c r="V46" s="262">
        <f t="shared" si="4"/>
        <v>0</v>
      </c>
    </row>
    <row r="47" spans="2:24" s="42" customFormat="1" ht="24" customHeight="1" thickBot="1">
      <c r="B47" s="98"/>
      <c r="C47" s="99" t="s">
        <v>37</v>
      </c>
      <c r="D47" s="99"/>
      <c r="E47" s="99"/>
      <c r="F47" s="99"/>
      <c r="G47" s="113">
        <f>+G23+G25+G31+G32+G34+G42</f>
        <v>7282646</v>
      </c>
      <c r="H47" s="115"/>
      <c r="I47" s="116"/>
      <c r="J47" s="270">
        <f>+J42+J34+J32+J31+J25+J23</f>
        <v>9793669.3000000007</v>
      </c>
      <c r="K47" s="127"/>
      <c r="L47" s="127">
        <f>+L30</f>
        <v>0</v>
      </c>
      <c r="M47" s="99"/>
      <c r="N47" s="128">
        <f>SUM(N23:N46)</f>
        <v>9793669.3000000007</v>
      </c>
      <c r="O47" s="99">
        <f>O21</f>
        <v>0</v>
      </c>
      <c r="P47" s="268">
        <f>P21</f>
        <v>9793669.3000000007</v>
      </c>
      <c r="Q47" s="117"/>
      <c r="R47" s="118"/>
      <c r="S47" s="118"/>
      <c r="T47" s="99">
        <f>T21</f>
        <v>0</v>
      </c>
      <c r="W47" s="297">
        <f>+T47+P47</f>
        <v>9793669.3000000007</v>
      </c>
      <c r="X47" s="297"/>
    </row>
    <row r="48" spans="2:24" ht="13.8" thickTop="1">
      <c r="B48" s="44"/>
      <c r="C48" s="45"/>
      <c r="D48" s="44"/>
      <c r="E48" s="46"/>
      <c r="F48" s="47"/>
      <c r="G48" s="47"/>
      <c r="H48" s="46"/>
      <c r="I48" s="47"/>
      <c r="J48" s="47"/>
      <c r="K48" s="48"/>
      <c r="L48" s="48"/>
      <c r="M48" s="48"/>
      <c r="N48" s="48"/>
      <c r="O48" s="48"/>
      <c r="P48" s="48"/>
      <c r="Q48" s="48"/>
      <c r="R48" s="48"/>
      <c r="S48" s="48"/>
      <c r="T48" s="48"/>
    </row>
    <row r="49" spans="2:24" ht="13.8" thickBot="1">
      <c r="C49" s="31"/>
      <c r="D49" s="306"/>
      <c r="E49" s="50"/>
      <c r="F49" s="39"/>
      <c r="G49" s="39"/>
      <c r="H49" s="51"/>
      <c r="I49" s="52"/>
      <c r="J49" s="52"/>
      <c r="X49" s="299"/>
    </row>
    <row r="50" spans="2:24" s="49" customFormat="1" ht="24" customHeight="1">
      <c r="B50" s="67" t="s">
        <v>38</v>
      </c>
      <c r="C50" s="53" t="s">
        <v>40</v>
      </c>
      <c r="D50" s="53"/>
      <c r="E50" s="53"/>
      <c r="F50" s="53"/>
      <c r="G50" s="54">
        <f>+G47</f>
        <v>7282646</v>
      </c>
      <c r="H50" s="53"/>
      <c r="I50" s="53"/>
      <c r="J50" s="54"/>
      <c r="K50" s="54"/>
      <c r="L50" s="54"/>
      <c r="M50" s="54"/>
      <c r="N50" s="54">
        <f>+N47</f>
        <v>9793669.3000000007</v>
      </c>
      <c r="O50" s="54"/>
      <c r="P50" s="55">
        <f>+P47</f>
        <v>9793669.3000000007</v>
      </c>
      <c r="Q50" s="54"/>
      <c r="R50" s="54"/>
      <c r="S50" s="55"/>
      <c r="T50" s="55"/>
    </row>
    <row r="51" spans="2:24" ht="24" customHeight="1">
      <c r="B51" s="94" t="s">
        <v>38</v>
      </c>
      <c r="C51" s="100"/>
      <c r="D51" s="94"/>
      <c r="E51" s="95"/>
      <c r="F51" s="95"/>
      <c r="G51" s="96"/>
      <c r="H51" s="101"/>
      <c r="I51" s="102"/>
      <c r="J51" s="102"/>
      <c r="K51" s="96"/>
      <c r="L51" s="96"/>
      <c r="M51" s="96"/>
      <c r="N51" s="96" t="str">
        <f>IF($B51="","",ROUND(K51*F51,12))</f>
        <v/>
      </c>
      <c r="O51" s="96" t="str">
        <f>IF($B51="","",ROUND(L51*F51,12))</f>
        <v/>
      </c>
      <c r="P51" s="96"/>
      <c r="Q51" s="96" t="str">
        <f>IF($B51="","",ROUND(N51*I51,12))</f>
        <v/>
      </c>
      <c r="R51" s="96" t="str">
        <f>IF($B51="","",ROUND(O51*I51,12))</f>
        <v/>
      </c>
      <c r="S51" s="96"/>
      <c r="T51" s="96"/>
    </row>
    <row r="52" spans="2:24" ht="24" customHeight="1">
      <c r="B52" s="94" t="s">
        <v>38</v>
      </c>
      <c r="C52" s="104" t="s">
        <v>39</v>
      </c>
      <c r="D52" s="94"/>
      <c r="E52" s="95"/>
      <c r="F52" s="95"/>
      <c r="G52" s="96"/>
      <c r="H52" s="101"/>
      <c r="I52" s="102"/>
      <c r="J52" s="102"/>
      <c r="K52" s="96"/>
      <c r="L52" s="96"/>
      <c r="M52" s="96"/>
      <c r="N52" s="96" t="str">
        <f>IF($B52="","",ROUND(K52*F52,12))</f>
        <v/>
      </c>
      <c r="O52" s="96" t="str">
        <f>IF($B52="","",ROUND(L52*F52,12))</f>
        <v/>
      </c>
      <c r="P52" s="263">
        <f>+P50</f>
        <v>9793669.3000000007</v>
      </c>
      <c r="Q52" s="266"/>
      <c r="R52" s="96" t="str">
        <f>IF($B52="","",ROUND(O52*I52,12))</f>
        <v/>
      </c>
      <c r="S52" s="96">
        <f>+S50</f>
        <v>0</v>
      </c>
      <c r="T52" s="97">
        <f>+T50</f>
        <v>0</v>
      </c>
    </row>
    <row r="53" spans="2:24" ht="24" customHeight="1">
      <c r="B53" s="94"/>
      <c r="C53" s="104" t="s">
        <v>137</v>
      </c>
      <c r="D53" s="94"/>
      <c r="E53" s="95"/>
      <c r="F53" s="95"/>
      <c r="G53" s="96"/>
      <c r="H53" s="101"/>
      <c r="I53" s="102"/>
      <c r="J53" s="102"/>
      <c r="K53" s="96"/>
      <c r="L53" s="96"/>
      <c r="M53" s="96"/>
      <c r="N53" s="96"/>
      <c r="O53" s="96"/>
      <c r="P53" s="263">
        <f>P52*0%</f>
        <v>0</v>
      </c>
      <c r="Q53" s="96"/>
      <c r="R53" s="96"/>
      <c r="S53" s="96"/>
      <c r="T53" s="97"/>
    </row>
    <row r="54" spans="2:24" ht="24" customHeight="1">
      <c r="B54" s="94" t="s">
        <v>38</v>
      </c>
      <c r="C54" s="104" t="s">
        <v>41</v>
      </c>
      <c r="D54" s="94"/>
      <c r="E54" s="95"/>
      <c r="F54" s="95"/>
      <c r="G54" s="96"/>
      <c r="H54" s="101"/>
      <c r="I54" s="102"/>
      <c r="J54" s="102"/>
      <c r="K54" s="96"/>
      <c r="L54" s="96"/>
      <c r="M54" s="96"/>
      <c r="N54" s="96" t="str">
        <f>IF($B54="","",ROUND(K54*F54,12))</f>
        <v/>
      </c>
      <c r="O54" s="96" t="str">
        <f>IF($B54="","",ROUND(L54*F54,12))</f>
        <v/>
      </c>
      <c r="P54" s="263">
        <f>P52+P53</f>
        <v>9793669.3000000007</v>
      </c>
      <c r="Q54" s="96" t="str">
        <f>IF($B54="","",ROUND(N54*I54,12))</f>
        <v/>
      </c>
      <c r="R54" s="96" t="str">
        <f>IF($B54="","",ROUND(O54*I54,12))</f>
        <v/>
      </c>
      <c r="S54" s="96">
        <f>S52+S53</f>
        <v>0</v>
      </c>
      <c r="T54" s="97">
        <f>T52+T53</f>
        <v>0</v>
      </c>
    </row>
    <row r="55" spans="2:24" ht="24" customHeight="1">
      <c r="B55" s="103"/>
      <c r="C55" s="104" t="s">
        <v>42</v>
      </c>
      <c r="D55" s="94"/>
      <c r="E55" s="95"/>
      <c r="F55" s="95"/>
      <c r="G55" s="96"/>
      <c r="H55" s="101"/>
      <c r="I55" s="102"/>
      <c r="J55" s="102"/>
      <c r="K55" s="96"/>
      <c r="L55" s="96"/>
      <c r="M55" s="96"/>
      <c r="N55" s="96"/>
      <c r="O55" s="96"/>
      <c r="P55" s="263">
        <f>+P54*19%</f>
        <v>1860797.1670000001</v>
      </c>
      <c r="Q55" s="96"/>
      <c r="R55" s="96"/>
      <c r="S55" s="96">
        <f>+S54*0.19</f>
        <v>0</v>
      </c>
      <c r="T55" s="96"/>
    </row>
    <row r="56" spans="2:24" s="42" customFormat="1" ht="24" customHeight="1" thickBot="1">
      <c r="B56" s="68" t="s">
        <v>38</v>
      </c>
      <c r="C56" s="56" t="s">
        <v>49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8" t="str">
        <f>IF($B56="","",ROUND(K56*F56,12))</f>
        <v/>
      </c>
      <c r="O56" s="57" t="str">
        <f>IF($B56="","",ROUND(L56*F56,12))</f>
        <v/>
      </c>
      <c r="P56" s="267">
        <f>P54+P55</f>
        <v>11654466.467</v>
      </c>
      <c r="Q56" s="58" t="str">
        <f>IF($B56="","",ROUND(N56*I56,12))</f>
        <v/>
      </c>
      <c r="R56" s="57" t="str">
        <f>IF($B56="","",ROUND(O56*I56,12))</f>
        <v/>
      </c>
      <c r="S56" s="59">
        <f>S54+S55</f>
        <v>0</v>
      </c>
      <c r="T56" s="59">
        <f>T54+T55</f>
        <v>0</v>
      </c>
    </row>
    <row r="57" spans="2:24">
      <c r="N57" s="39" t="str">
        <f>IF($B57="","",ROUND(K57*F57,12))</f>
        <v/>
      </c>
      <c r="O57" s="60" t="str">
        <f>IF($B57="","",ROUND(L57*F57,12))</f>
        <v/>
      </c>
      <c r="Q57" s="39" t="str">
        <f>IF($B57="","",ROUND(N57*I57,12))</f>
        <v/>
      </c>
      <c r="R57" s="60" t="str">
        <f>IF($B57="","",ROUND(O57*I57,12))</f>
        <v/>
      </c>
    </row>
    <row r="58" spans="2:24">
      <c r="O58" s="60"/>
      <c r="R58" s="60"/>
    </row>
    <row r="59" spans="2:24">
      <c r="M59" s="50"/>
    </row>
    <row r="61" spans="2:24">
      <c r="K61" s="61"/>
      <c r="M61" s="50"/>
    </row>
    <row r="62" spans="2:24">
      <c r="B62" s="31"/>
      <c r="C62" s="31"/>
      <c r="D62" s="306"/>
      <c r="E62" s="40"/>
      <c r="H62" s="38"/>
      <c r="I62" s="38"/>
      <c r="K62" s="41"/>
      <c r="L62" s="41"/>
      <c r="M62" s="62"/>
      <c r="R62" s="62"/>
      <c r="U62" s="62"/>
      <c r="V62" s="62"/>
    </row>
    <row r="63" spans="2:24">
      <c r="B63" s="31"/>
      <c r="C63" s="31"/>
      <c r="D63" s="306"/>
      <c r="E63" s="40"/>
      <c r="H63" s="38"/>
      <c r="I63" s="38"/>
      <c r="K63" s="41"/>
      <c r="L63" s="41"/>
      <c r="N63" s="31"/>
      <c r="O63" s="31"/>
      <c r="P63" s="31"/>
      <c r="Q63" s="31"/>
      <c r="U63" s="39"/>
      <c r="V63" s="39"/>
    </row>
    <row r="64" spans="2:24" ht="15.6" thickBot="1">
      <c r="B64" s="31"/>
      <c r="C64" s="31"/>
      <c r="D64" s="306"/>
      <c r="E64" s="403"/>
      <c r="F64" s="403"/>
      <c r="G64" s="403"/>
      <c r="H64" s="403"/>
      <c r="I64" s="38"/>
      <c r="K64" s="41"/>
      <c r="L64" s="41"/>
      <c r="N64" s="412"/>
      <c r="O64" s="412"/>
      <c r="P64" s="412"/>
      <c r="Q64" s="412"/>
      <c r="S64" s="31"/>
      <c r="T64" s="31"/>
      <c r="U64" s="39"/>
      <c r="V64" s="39"/>
    </row>
    <row r="65" spans="2:22" ht="15.75" customHeight="1">
      <c r="B65" s="31"/>
      <c r="C65" s="31"/>
      <c r="D65" s="306"/>
      <c r="E65" s="399" t="s">
        <v>97</v>
      </c>
      <c r="F65" s="399"/>
      <c r="G65" s="399"/>
      <c r="H65" s="399"/>
      <c r="I65" s="38"/>
      <c r="K65" s="41"/>
      <c r="L65" s="41"/>
      <c r="N65" s="399" t="s">
        <v>199</v>
      </c>
      <c r="O65" s="399"/>
      <c r="P65" s="399"/>
      <c r="Q65" s="399"/>
      <c r="U65" s="39"/>
      <c r="V65" s="39"/>
    </row>
    <row r="66" spans="2:22" ht="15" customHeight="1">
      <c r="B66" s="31"/>
      <c r="C66" s="31"/>
      <c r="D66" s="306"/>
      <c r="E66" s="40"/>
      <c r="F66" s="507" t="s">
        <v>198</v>
      </c>
      <c r="G66" s="507"/>
      <c r="H66" s="38"/>
      <c r="I66" s="38"/>
      <c r="K66" s="41"/>
      <c r="L66" s="41"/>
      <c r="N66" s="409" t="s">
        <v>198</v>
      </c>
      <c r="O66" s="409"/>
      <c r="P66" s="409"/>
      <c r="Q66" s="409"/>
      <c r="U66" s="39"/>
      <c r="V66" s="39"/>
    </row>
    <row r="67" spans="2:22">
      <c r="B67" s="31"/>
      <c r="C67" s="31"/>
      <c r="D67" s="306"/>
      <c r="E67" s="40"/>
      <c r="H67" s="38"/>
      <c r="I67" s="38"/>
      <c r="K67" s="41"/>
      <c r="L67" s="41"/>
      <c r="U67" s="39"/>
      <c r="V67" s="39"/>
    </row>
    <row r="68" spans="2:22">
      <c r="B68" s="31"/>
      <c r="C68" s="31"/>
      <c r="D68" s="306"/>
      <c r="E68" s="40"/>
      <c r="H68" s="38"/>
      <c r="I68" s="38"/>
      <c r="K68" s="41"/>
      <c r="L68" s="41"/>
      <c r="U68" s="39"/>
      <c r="V68" s="39"/>
    </row>
    <row r="69" spans="2:22" ht="15">
      <c r="B69" s="31"/>
      <c r="C69" s="31"/>
      <c r="D69" s="306"/>
      <c r="E69" s="40"/>
      <c r="H69" s="38"/>
      <c r="I69" s="1"/>
      <c r="J69" s="1"/>
      <c r="K69" s="1"/>
      <c r="L69" s="272"/>
      <c r="M69" s="35"/>
      <c r="U69" s="39"/>
      <c r="V69" s="39"/>
    </row>
    <row r="70" spans="2:22" ht="15">
      <c r="G70" s="410"/>
      <c r="H70" s="410"/>
      <c r="I70" s="410"/>
      <c r="J70" s="410"/>
      <c r="K70" s="410"/>
      <c r="L70" s="272"/>
      <c r="N70" s="302"/>
    </row>
    <row r="71" spans="2:22" ht="15">
      <c r="G71" s="411"/>
      <c r="H71" s="401"/>
      <c r="I71" s="401"/>
      <c r="J71" s="401"/>
      <c r="K71" s="401"/>
      <c r="L71" s="272"/>
      <c r="N71" s="50"/>
    </row>
    <row r="72" spans="2:22" ht="15">
      <c r="N72" s="309">
        <v>0.13333333333333333</v>
      </c>
    </row>
    <row r="74" spans="2:22">
      <c r="M74" s="50"/>
      <c r="N74" s="50"/>
    </row>
    <row r="76" spans="2:22">
      <c r="N76" s="50"/>
    </row>
    <row r="78" spans="2:22">
      <c r="N78" s="50"/>
    </row>
    <row r="83" spans="14:16" ht="17.399999999999999">
      <c r="N83" s="62"/>
      <c r="P83" s="147"/>
    </row>
  </sheetData>
  <mergeCells count="34">
    <mergeCell ref="D11:E11"/>
    <mergeCell ref="B3:D9"/>
    <mergeCell ref="E4:P4"/>
    <mergeCell ref="Q4:R4"/>
    <mergeCell ref="E6:P6"/>
    <mergeCell ref="E8:J8"/>
    <mergeCell ref="D12:E12"/>
    <mergeCell ref="B14:C14"/>
    <mergeCell ref="D14:O14"/>
    <mergeCell ref="P14:Q14"/>
    <mergeCell ref="B15:C15"/>
    <mergeCell ref="D15:O15"/>
    <mergeCell ref="P15:Q15"/>
    <mergeCell ref="E64:H64"/>
    <mergeCell ref="N64:Q64"/>
    <mergeCell ref="B16:C16"/>
    <mergeCell ref="D16:O16"/>
    <mergeCell ref="P16:Q16"/>
    <mergeCell ref="D18:G18"/>
    <mergeCell ref="H18:J18"/>
    <mergeCell ref="K18:M18"/>
    <mergeCell ref="N18:P18"/>
    <mergeCell ref="Q18:S18"/>
    <mergeCell ref="F19:G19"/>
    <mergeCell ref="I19:J19"/>
    <mergeCell ref="K19:L19"/>
    <mergeCell ref="N19:O19"/>
    <mergeCell ref="Q19:S19"/>
    <mergeCell ref="E65:H65"/>
    <mergeCell ref="N65:Q65"/>
    <mergeCell ref="N66:Q66"/>
    <mergeCell ref="G70:K70"/>
    <mergeCell ref="G71:K71"/>
    <mergeCell ref="F66:G66"/>
  </mergeCells>
  <printOptions horizontalCentered="1"/>
  <pageMargins left="0.54500000000000004" right="0" top="0.78740157480314965" bottom="0" header="0.31496062992125984" footer="0.31496062992125984"/>
  <pageSetup paperSize="9" scale="3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/>
  <dimension ref="B1:K20"/>
  <sheetViews>
    <sheetView topLeftCell="B7" zoomScaleNormal="100" workbookViewId="0">
      <selection activeCell="E23" sqref="E23"/>
    </sheetView>
  </sheetViews>
  <sheetFormatPr baseColWidth="10" defaultRowHeight="14.4"/>
  <cols>
    <col min="1" max="1" width="3.33203125" customWidth="1"/>
    <col min="2" max="2" width="47.33203125" customWidth="1"/>
    <col min="3" max="3" width="9.109375" customWidth="1"/>
    <col min="4" max="4" width="6.33203125" customWidth="1"/>
    <col min="5" max="5" width="22.109375" bestFit="1" customWidth="1"/>
    <col min="6" max="9" width="20.6640625" customWidth="1"/>
    <col min="10" max="10" width="15.88671875" customWidth="1"/>
    <col min="11" max="11" width="6.6640625" customWidth="1"/>
  </cols>
  <sheetData>
    <row r="1" spans="2:10" s="221" customFormat="1" ht="15.6">
      <c r="B1" s="222"/>
      <c r="C1" s="230"/>
      <c r="D1" s="231"/>
      <c r="E1" s="231"/>
      <c r="F1" s="231"/>
      <c r="G1" s="231"/>
      <c r="H1" s="231"/>
    </row>
    <row r="2" spans="2:10" s="221" customFormat="1" ht="15.6">
      <c r="B2" s="232" t="s">
        <v>102</v>
      </c>
      <c r="C2" s="233" t="s">
        <v>103</v>
      </c>
      <c r="D2" s="482">
        <f>+'CARATULA EP '!J30</f>
        <v>7282646</v>
      </c>
      <c r="E2" s="482"/>
      <c r="F2" s="482"/>
      <c r="G2" s="234"/>
      <c r="H2" s="234"/>
    </row>
    <row r="3" spans="2:10" s="221" customFormat="1" ht="15.6">
      <c r="B3" s="235" t="s">
        <v>119</v>
      </c>
      <c r="C3" s="236" t="s">
        <v>103</v>
      </c>
      <c r="D3" s="483">
        <v>0</v>
      </c>
      <c r="E3" s="483"/>
      <c r="F3" s="483"/>
    </row>
    <row r="4" spans="2:10" s="221" customFormat="1" ht="15.6">
      <c r="B4" s="235" t="s">
        <v>120</v>
      </c>
      <c r="C4" s="236" t="s">
        <v>103</v>
      </c>
      <c r="D4" s="483">
        <v>0</v>
      </c>
      <c r="E4" s="483"/>
      <c r="F4" s="483"/>
    </row>
    <row r="5" spans="2:10" s="221" customFormat="1" ht="15.6">
      <c r="B5" s="235" t="s">
        <v>121</v>
      </c>
      <c r="C5" s="236" t="s">
        <v>103</v>
      </c>
      <c r="D5" s="483">
        <v>0</v>
      </c>
      <c r="E5" s="483"/>
      <c r="F5" s="483"/>
    </row>
    <row r="6" spans="2:10" s="221" customFormat="1" ht="17.399999999999999">
      <c r="B6" s="235" t="s">
        <v>104</v>
      </c>
      <c r="C6" s="236" t="s">
        <v>103</v>
      </c>
      <c r="D6" s="484">
        <f>+D2+D3+D4</f>
        <v>7282646</v>
      </c>
      <c r="E6" s="484"/>
      <c r="F6" s="484"/>
      <c r="H6" s="274"/>
    </row>
    <row r="7" spans="2:10" s="221" customFormat="1" ht="16.2" thickBot="1">
      <c r="B7" s="223"/>
      <c r="C7" s="224"/>
      <c r="D7" s="225"/>
      <c r="E7" s="226"/>
      <c r="H7" s="237"/>
    </row>
    <row r="8" spans="2:10" s="227" customFormat="1" thickBot="1">
      <c r="B8" s="485"/>
      <c r="C8" s="485"/>
      <c r="D8" s="486"/>
      <c r="E8" s="487" t="s">
        <v>105</v>
      </c>
      <c r="F8" s="487" t="s">
        <v>106</v>
      </c>
      <c r="G8" s="474" t="s">
        <v>107</v>
      </c>
      <c r="H8" s="476" t="s">
        <v>108</v>
      </c>
      <c r="I8" s="478" t="s">
        <v>109</v>
      </c>
    </row>
    <row r="9" spans="2:10" s="228" customFormat="1" thickBot="1">
      <c r="B9" s="485"/>
      <c r="C9" s="485"/>
      <c r="D9" s="486"/>
      <c r="E9" s="488"/>
      <c r="F9" s="488"/>
      <c r="G9" s="475"/>
      <c r="H9" s="477"/>
      <c r="I9" s="479"/>
    </row>
    <row r="10" spans="2:10" ht="15.6">
      <c r="B10" s="480" t="s">
        <v>110</v>
      </c>
      <c r="C10" s="480"/>
      <c r="D10" s="238" t="s">
        <v>103</v>
      </c>
      <c r="E10" s="239">
        <f>+'EDP 001'!P47</f>
        <v>9793669.3000000007</v>
      </c>
      <c r="F10" s="239">
        <f>+'EDP 001'!P23+'EDP 001'!P25</f>
        <v>6920530</v>
      </c>
      <c r="G10" s="240">
        <f>+'[2]EDP 001'!N39+'[2]EDP 001'!N40</f>
        <v>0</v>
      </c>
      <c r="H10" s="240">
        <f>+'EDP 001'!N30+'EDP 001'!N31+'EDP 001'!N42</f>
        <v>867539.29999999993</v>
      </c>
      <c r="I10" s="241">
        <f>'[3]EP 001'!O33</f>
        <v>0</v>
      </c>
      <c r="J10" s="275">
        <f>+F10+H10+G10</f>
        <v>7788069.2999999998</v>
      </c>
    </row>
    <row r="11" spans="2:10" ht="15.6">
      <c r="B11" s="481" t="s">
        <v>111</v>
      </c>
      <c r="C11" s="481"/>
      <c r="D11" s="276" t="s">
        <v>103</v>
      </c>
      <c r="E11" s="277"/>
      <c r="F11" s="277"/>
      <c r="G11" s="242"/>
      <c r="H11" s="243"/>
      <c r="I11" s="243"/>
      <c r="J11" s="278">
        <f>+F11+H11+G11</f>
        <v>0</v>
      </c>
    </row>
    <row r="12" spans="2:10" ht="15.6">
      <c r="B12" s="471" t="s">
        <v>112</v>
      </c>
      <c r="C12" s="471"/>
      <c r="D12" s="279" t="s">
        <v>103</v>
      </c>
      <c r="E12" s="280">
        <f>+'EDP 001'!P47</f>
        <v>9793669.3000000007</v>
      </c>
      <c r="F12" s="281">
        <f>+'EDP 001'!P23+'EDP 001'!P25</f>
        <v>6920530</v>
      </c>
      <c r="G12" s="282"/>
      <c r="H12" s="243">
        <f>+'EDP 001'!P30+'EDP 001'!P31+'EDP 001'!P42</f>
        <v>867539.29999999993</v>
      </c>
      <c r="I12" s="243"/>
      <c r="J12" s="283">
        <f>+H12+F12+G12</f>
        <v>7788069.2999999998</v>
      </c>
    </row>
    <row r="13" spans="2:10" ht="15.6">
      <c r="B13" s="470" t="s">
        <v>138</v>
      </c>
      <c r="C13" s="470"/>
      <c r="D13" s="284" t="s">
        <v>113</v>
      </c>
      <c r="E13" s="285"/>
      <c r="F13" s="286"/>
      <c r="G13" s="287"/>
      <c r="H13" s="244"/>
      <c r="I13" s="244"/>
      <c r="J13" s="288">
        <f>+F13+H13</f>
        <v>0</v>
      </c>
    </row>
    <row r="14" spans="2:10" ht="15.6">
      <c r="B14" s="471" t="s">
        <v>114</v>
      </c>
      <c r="C14" s="471"/>
      <c r="D14" s="279" t="s">
        <v>103</v>
      </c>
      <c r="E14" s="280"/>
      <c r="F14" s="289"/>
      <c r="G14" s="290"/>
      <c r="H14" s="245"/>
      <c r="I14" s="245"/>
      <c r="J14" s="288">
        <f>+F14+H14</f>
        <v>0</v>
      </c>
    </row>
    <row r="15" spans="2:10" ht="15.6">
      <c r="B15" s="471" t="s">
        <v>115</v>
      </c>
      <c r="C15" s="471"/>
      <c r="D15" s="279" t="s">
        <v>103</v>
      </c>
      <c r="E15" s="280">
        <f>+'EDP 001'!P47</f>
        <v>9793669.3000000007</v>
      </c>
      <c r="F15" s="316">
        <f>F12+F14</f>
        <v>6920530</v>
      </c>
      <c r="G15" s="290"/>
      <c r="H15" s="317">
        <f>H12+H14</f>
        <v>867539.29999999993</v>
      </c>
      <c r="I15" s="245"/>
      <c r="J15" s="288">
        <f>+F15+H15+G15</f>
        <v>7788069.2999999998</v>
      </c>
    </row>
    <row r="16" spans="2:10" ht="16.2" thickBot="1">
      <c r="B16" s="471" t="s">
        <v>116</v>
      </c>
      <c r="C16" s="471"/>
      <c r="D16" s="279" t="s">
        <v>103</v>
      </c>
      <c r="E16" s="318">
        <f>(E15-I15)*19%</f>
        <v>1860797.1670000001</v>
      </c>
      <c r="F16" s="291"/>
      <c r="G16" s="292"/>
      <c r="H16" s="246"/>
      <c r="I16" s="246"/>
      <c r="J16" s="288">
        <f>+F16+H16</f>
        <v>0</v>
      </c>
    </row>
    <row r="17" spans="2:11" ht="18" thickBot="1">
      <c r="B17" s="472" t="s">
        <v>117</v>
      </c>
      <c r="C17" s="472"/>
      <c r="D17" s="247" t="s">
        <v>103</v>
      </c>
      <c r="E17" s="248">
        <f>+E15+E16</f>
        <v>11654466.467</v>
      </c>
      <c r="F17" s="249"/>
      <c r="G17" s="250"/>
      <c r="H17" s="251"/>
      <c r="I17" s="252"/>
    </row>
    <row r="18" spans="2:11" s="227" customFormat="1" ht="15" thickBot="1">
      <c r="B18" s="473"/>
      <c r="C18" s="473"/>
      <c r="D18" s="229"/>
      <c r="E18" s="469"/>
      <c r="F18" s="469"/>
      <c r="G18" s="469"/>
      <c r="H18" s="253"/>
      <c r="I18" s="253"/>
      <c r="J18" s="253"/>
      <c r="K18"/>
    </row>
    <row r="19" spans="2:11" ht="21.6" thickBot="1">
      <c r="E19" s="293" t="s">
        <v>122</v>
      </c>
      <c r="F19" s="294">
        <f>+'CARATULA EP '!J55</f>
        <v>11654466.467</v>
      </c>
      <c r="G19" s="300" t="str">
        <f>IF(E17=F19,"OK","ERROR")</f>
        <v>OK</v>
      </c>
    </row>
    <row r="20" spans="2:11" ht="21.6" thickBot="1">
      <c r="E20" s="301" t="s">
        <v>123</v>
      </c>
      <c r="F20" s="294">
        <f>+'EDP 001'!P56</f>
        <v>11654466.467</v>
      </c>
      <c r="G20" s="300" t="str">
        <f>IF(E17=F20,"OK","ERROR")</f>
        <v>OK</v>
      </c>
    </row>
  </sheetData>
  <mergeCells count="22">
    <mergeCell ref="B12:C12"/>
    <mergeCell ref="D2:F2"/>
    <mergeCell ref="D3:F3"/>
    <mergeCell ref="D4:F4"/>
    <mergeCell ref="D5:F5"/>
    <mergeCell ref="D6:F6"/>
    <mergeCell ref="B8:C9"/>
    <mergeCell ref="D8:D9"/>
    <mergeCell ref="E8:E9"/>
    <mergeCell ref="F8:F9"/>
    <mergeCell ref="G8:G9"/>
    <mergeCell ref="H8:H9"/>
    <mergeCell ref="I8:I9"/>
    <mergeCell ref="B10:C10"/>
    <mergeCell ref="B11:C11"/>
    <mergeCell ref="E18:G18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BC0F-E637-4644-BFD8-0EF7ED01A633}">
  <dimension ref="A1:O42"/>
  <sheetViews>
    <sheetView view="pageBreakPreview" topLeftCell="A16" zoomScale="85" zoomScaleNormal="100" zoomScaleSheetLayoutView="85" workbookViewId="0">
      <selection activeCell="F45" sqref="F45"/>
    </sheetView>
  </sheetViews>
  <sheetFormatPr baseColWidth="10" defaultColWidth="11.44140625" defaultRowHeight="15"/>
  <cols>
    <col min="1" max="1" width="1.6640625" style="322" customWidth="1"/>
    <col min="2" max="2" width="5.6640625" style="322" customWidth="1"/>
    <col min="3" max="3" width="69.6640625" style="322" customWidth="1"/>
    <col min="4" max="4" width="7.6640625" style="322" customWidth="1"/>
    <col min="5" max="5" width="1.6640625" style="322" customWidth="1"/>
    <col min="6" max="6" width="22" style="322" bestFit="1" customWidth="1"/>
    <col min="7" max="7" width="13.33203125" style="322" bestFit="1" customWidth="1"/>
    <col min="8" max="8" width="14.5546875" style="322" bestFit="1" customWidth="1"/>
    <col min="9" max="9" width="1.88671875" style="322" customWidth="1"/>
    <col min="10" max="10" width="15.6640625" style="322" customWidth="1"/>
    <col min="11" max="11" width="11.88671875" style="322" bestFit="1" customWidth="1"/>
    <col min="12" max="12" width="13.33203125" style="322" bestFit="1" customWidth="1"/>
    <col min="13" max="14" width="14.5546875" style="322" bestFit="1" customWidth="1"/>
    <col min="15" max="16384" width="11.44140625" style="322"/>
  </cols>
  <sheetData>
    <row r="1" spans="1:13">
      <c r="A1" s="321"/>
      <c r="B1" s="321"/>
      <c r="C1" s="321"/>
      <c r="D1" s="321"/>
    </row>
    <row r="2" spans="1:13" ht="15.6">
      <c r="A2" s="321"/>
      <c r="B2" s="323"/>
      <c r="C2" s="323"/>
      <c r="D2" s="323"/>
    </row>
    <row r="3" spans="1:13" ht="15.75" customHeight="1">
      <c r="A3" s="321"/>
      <c r="B3" s="491" t="s">
        <v>140</v>
      </c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</row>
    <row r="4" spans="1:13" ht="15.75" customHeight="1">
      <c r="A4" s="321"/>
    </row>
    <row r="5" spans="1:13" ht="26.25" customHeight="1">
      <c r="A5" s="321"/>
      <c r="B5" s="492" t="s">
        <v>141</v>
      </c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</row>
    <row r="6" spans="1:13" ht="16.5" customHeight="1" thickBot="1">
      <c r="A6" s="321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</row>
    <row r="7" spans="1:13" ht="16.2" thickBot="1">
      <c r="A7" s="321"/>
      <c r="B7" s="324"/>
      <c r="C7" s="321"/>
      <c r="D7" s="321"/>
      <c r="F7" s="493" t="s">
        <v>142</v>
      </c>
      <c r="G7" s="494"/>
      <c r="H7" s="495"/>
      <c r="J7" s="496" t="s">
        <v>143</v>
      </c>
      <c r="K7" s="497"/>
      <c r="L7" s="497"/>
      <c r="M7" s="498"/>
    </row>
    <row r="8" spans="1:13" ht="15.75" customHeight="1">
      <c r="A8" s="321"/>
      <c r="B8" s="499" t="s">
        <v>99</v>
      </c>
      <c r="C8" s="501" t="s">
        <v>26</v>
      </c>
      <c r="D8" s="503" t="s">
        <v>144</v>
      </c>
      <c r="F8" s="505" t="s">
        <v>145</v>
      </c>
      <c r="G8" s="489" t="s">
        <v>98</v>
      </c>
      <c r="H8" s="490"/>
      <c r="J8" s="489" t="s">
        <v>146</v>
      </c>
      <c r="K8" s="490"/>
      <c r="L8" s="489" t="s">
        <v>147</v>
      </c>
      <c r="M8" s="490"/>
    </row>
    <row r="9" spans="1:13" ht="20.25" customHeight="1" thickBot="1">
      <c r="A9" s="321"/>
      <c r="B9" s="500"/>
      <c r="C9" s="502"/>
      <c r="D9" s="504"/>
      <c r="F9" s="506"/>
      <c r="G9" s="325" t="s">
        <v>148</v>
      </c>
      <c r="H9" s="326" t="s">
        <v>105</v>
      </c>
      <c r="J9" s="325" t="s">
        <v>148</v>
      </c>
      <c r="K9" s="326" t="s">
        <v>105</v>
      </c>
      <c r="L9" s="325" t="s">
        <v>148</v>
      </c>
      <c r="M9" s="326" t="s">
        <v>105</v>
      </c>
    </row>
    <row r="10" spans="1:13" ht="15.6">
      <c r="A10" s="321"/>
      <c r="B10" s="327" t="s">
        <v>149</v>
      </c>
      <c r="C10" s="328" t="s">
        <v>150</v>
      </c>
      <c r="D10" s="329"/>
      <c r="F10" s="330"/>
      <c r="G10" s="331"/>
      <c r="H10" s="332"/>
      <c r="J10" s="333"/>
      <c r="K10" s="332"/>
      <c r="L10" s="331"/>
      <c r="M10" s="332"/>
    </row>
    <row r="11" spans="1:13" ht="15.75" customHeight="1">
      <c r="A11" s="321"/>
      <c r="B11" s="334" t="s">
        <v>151</v>
      </c>
      <c r="C11" s="335" t="s">
        <v>77</v>
      </c>
      <c r="D11" s="336" t="s">
        <v>94</v>
      </c>
      <c r="F11" s="337">
        <v>30379</v>
      </c>
      <c r="G11" s="338">
        <v>110</v>
      </c>
      <c r="H11" s="339">
        <f>+G11*F11</f>
        <v>3341690</v>
      </c>
      <c r="J11" s="340">
        <f>20+20</f>
        <v>40</v>
      </c>
      <c r="K11" s="339">
        <f t="shared" ref="K11:K34" si="0">+J11*F11</f>
        <v>1215160</v>
      </c>
      <c r="L11" s="338">
        <f t="shared" ref="L11:M34" si="1">+G11+J11</f>
        <v>150</v>
      </c>
      <c r="M11" s="339">
        <f t="shared" si="1"/>
        <v>4556850</v>
      </c>
    </row>
    <row r="12" spans="1:13">
      <c r="A12" s="321"/>
      <c r="B12" s="334" t="s">
        <v>152</v>
      </c>
      <c r="C12" s="341" t="s">
        <v>78</v>
      </c>
      <c r="D12" s="336" t="s">
        <v>94</v>
      </c>
      <c r="F12" s="337">
        <v>22998</v>
      </c>
      <c r="G12" s="338">
        <v>0</v>
      </c>
      <c r="H12" s="339">
        <f t="shared" ref="H12:H34" si="2">+G12*F12</f>
        <v>0</v>
      </c>
      <c r="J12" s="340">
        <v>0</v>
      </c>
      <c r="K12" s="339">
        <f t="shared" si="0"/>
        <v>0</v>
      </c>
      <c r="L12" s="338">
        <f t="shared" si="1"/>
        <v>0</v>
      </c>
      <c r="M12" s="339">
        <f t="shared" si="1"/>
        <v>0</v>
      </c>
    </row>
    <row r="13" spans="1:13">
      <c r="A13" s="321"/>
      <c r="B13" s="334" t="s">
        <v>153</v>
      </c>
      <c r="C13" s="341" t="s">
        <v>79</v>
      </c>
      <c r="D13" s="336" t="s">
        <v>94</v>
      </c>
      <c r="F13" s="337">
        <v>14773</v>
      </c>
      <c r="G13" s="338">
        <v>120</v>
      </c>
      <c r="H13" s="339">
        <f t="shared" si="2"/>
        <v>1772760</v>
      </c>
      <c r="J13" s="340">
        <v>40</v>
      </c>
      <c r="K13" s="339">
        <f t="shared" si="0"/>
        <v>590920</v>
      </c>
      <c r="L13" s="338">
        <f t="shared" si="1"/>
        <v>160</v>
      </c>
      <c r="M13" s="339">
        <f t="shared" si="1"/>
        <v>2363680</v>
      </c>
    </row>
    <row r="14" spans="1:13" ht="15.75" customHeight="1">
      <c r="A14" s="321"/>
      <c r="B14" s="342" t="s">
        <v>154</v>
      </c>
      <c r="C14" s="343" t="s">
        <v>155</v>
      </c>
      <c r="D14" s="336"/>
      <c r="F14" s="337"/>
      <c r="G14" s="338"/>
      <c r="H14" s="339"/>
      <c r="J14" s="340"/>
      <c r="K14" s="339"/>
      <c r="L14" s="338"/>
      <c r="M14" s="339">
        <f t="shared" si="1"/>
        <v>0</v>
      </c>
    </row>
    <row r="15" spans="1:13" ht="15.6">
      <c r="A15" s="321"/>
      <c r="B15" s="344" t="s">
        <v>156</v>
      </c>
      <c r="C15" s="345" t="s">
        <v>81</v>
      </c>
      <c r="D15" s="336" t="s">
        <v>95</v>
      </c>
      <c r="F15" s="337">
        <v>783594</v>
      </c>
      <c r="G15" s="338">
        <v>0</v>
      </c>
      <c r="H15" s="339">
        <f t="shared" si="2"/>
        <v>0</v>
      </c>
      <c r="J15" s="340">
        <v>0</v>
      </c>
      <c r="K15" s="339">
        <f t="shared" si="0"/>
        <v>0</v>
      </c>
      <c r="L15" s="338">
        <f t="shared" si="1"/>
        <v>0</v>
      </c>
      <c r="M15" s="339">
        <f t="shared" si="1"/>
        <v>0</v>
      </c>
    </row>
    <row r="16" spans="1:13">
      <c r="A16" s="321"/>
      <c r="B16" s="334" t="s">
        <v>157</v>
      </c>
      <c r="C16" s="345" t="s">
        <v>82</v>
      </c>
      <c r="D16" s="336" t="s">
        <v>95</v>
      </c>
      <c r="F16" s="337">
        <v>844721</v>
      </c>
      <c r="G16" s="338">
        <v>0</v>
      </c>
      <c r="H16" s="339">
        <f t="shared" si="2"/>
        <v>0</v>
      </c>
      <c r="J16" s="340">
        <v>0</v>
      </c>
      <c r="K16" s="339">
        <f t="shared" si="0"/>
        <v>0</v>
      </c>
      <c r="L16" s="338">
        <f t="shared" si="1"/>
        <v>0</v>
      </c>
      <c r="M16" s="339">
        <f t="shared" si="1"/>
        <v>0</v>
      </c>
    </row>
    <row r="17" spans="1:13" ht="15.6">
      <c r="A17" s="321"/>
      <c r="B17" s="334" t="s">
        <v>158</v>
      </c>
      <c r="C17" s="343" t="s">
        <v>159</v>
      </c>
      <c r="D17" s="336"/>
      <c r="F17" s="337"/>
      <c r="G17" s="338"/>
      <c r="H17" s="339"/>
      <c r="J17" s="340"/>
      <c r="K17" s="339"/>
      <c r="L17" s="338"/>
      <c r="M17" s="339">
        <f t="shared" si="1"/>
        <v>0</v>
      </c>
    </row>
    <row r="18" spans="1:13" ht="15.6">
      <c r="A18" s="321"/>
      <c r="B18" s="344" t="s">
        <v>160</v>
      </c>
      <c r="C18" s="346" t="s">
        <v>84</v>
      </c>
      <c r="D18" s="336" t="s">
        <v>95</v>
      </c>
      <c r="F18" s="337">
        <v>17374</v>
      </c>
      <c r="G18" s="338">
        <v>0</v>
      </c>
      <c r="H18" s="339">
        <f t="shared" si="2"/>
        <v>0</v>
      </c>
      <c r="J18" s="340">
        <v>0</v>
      </c>
      <c r="K18" s="339">
        <f t="shared" si="0"/>
        <v>0</v>
      </c>
      <c r="L18" s="338">
        <f t="shared" si="1"/>
        <v>0</v>
      </c>
      <c r="M18" s="339">
        <f t="shared" si="1"/>
        <v>0</v>
      </c>
    </row>
    <row r="19" spans="1:13">
      <c r="A19" s="321"/>
      <c r="B19" s="334" t="s">
        <v>161</v>
      </c>
      <c r="C19" s="346" t="s">
        <v>85</v>
      </c>
      <c r="D19" s="336" t="s">
        <v>95</v>
      </c>
      <c r="F19" s="337">
        <v>12826</v>
      </c>
      <c r="G19" s="338">
        <v>6</v>
      </c>
      <c r="H19" s="339">
        <f t="shared" si="2"/>
        <v>76956</v>
      </c>
      <c r="J19" s="340">
        <v>2</v>
      </c>
      <c r="K19" s="339">
        <f t="shared" si="0"/>
        <v>25652</v>
      </c>
      <c r="L19" s="338">
        <f t="shared" si="1"/>
        <v>8</v>
      </c>
      <c r="M19" s="339">
        <f t="shared" si="1"/>
        <v>102608</v>
      </c>
    </row>
    <row r="20" spans="1:13">
      <c r="A20" s="321"/>
      <c r="B20" s="334" t="s">
        <v>162</v>
      </c>
      <c r="C20" s="346" t="s">
        <v>86</v>
      </c>
      <c r="D20" s="336" t="s">
        <v>95</v>
      </c>
      <c r="F20" s="337">
        <v>2664</v>
      </c>
      <c r="G20" s="338">
        <v>6</v>
      </c>
      <c r="H20" s="339">
        <f t="shared" si="2"/>
        <v>15984</v>
      </c>
      <c r="J20" s="340">
        <v>2</v>
      </c>
      <c r="K20" s="339">
        <f t="shared" si="0"/>
        <v>5328</v>
      </c>
      <c r="L20" s="338">
        <f t="shared" si="1"/>
        <v>8</v>
      </c>
      <c r="M20" s="339">
        <f t="shared" si="1"/>
        <v>21312</v>
      </c>
    </row>
    <row r="21" spans="1:13">
      <c r="A21" s="321"/>
      <c r="B21" s="334" t="s">
        <v>163</v>
      </c>
      <c r="C21" s="346" t="s">
        <v>87</v>
      </c>
      <c r="D21" s="336" t="s">
        <v>95</v>
      </c>
      <c r="F21" s="337">
        <v>7661</v>
      </c>
      <c r="G21" s="338">
        <v>0</v>
      </c>
      <c r="H21" s="339">
        <f t="shared" si="2"/>
        <v>0</v>
      </c>
      <c r="J21" s="340">
        <v>0</v>
      </c>
      <c r="K21" s="339">
        <f t="shared" si="0"/>
        <v>0</v>
      </c>
      <c r="L21" s="338">
        <f t="shared" si="1"/>
        <v>0</v>
      </c>
      <c r="M21" s="339">
        <f t="shared" si="1"/>
        <v>0</v>
      </c>
    </row>
    <row r="22" spans="1:13">
      <c r="A22" s="321"/>
      <c r="B22" s="334" t="s">
        <v>164</v>
      </c>
      <c r="C22" s="347" t="s">
        <v>130</v>
      </c>
      <c r="D22" s="336" t="s">
        <v>95</v>
      </c>
      <c r="F22" s="337">
        <v>248036</v>
      </c>
      <c r="G22" s="338">
        <v>6</v>
      </c>
      <c r="H22" s="339">
        <f t="shared" si="2"/>
        <v>1488216</v>
      </c>
      <c r="J22" s="340">
        <v>2</v>
      </c>
      <c r="K22" s="339">
        <f t="shared" si="0"/>
        <v>496072</v>
      </c>
      <c r="L22" s="338">
        <f t="shared" si="1"/>
        <v>8</v>
      </c>
      <c r="M22" s="339">
        <f t="shared" si="1"/>
        <v>1984288</v>
      </c>
    </row>
    <row r="23" spans="1:13">
      <c r="A23" s="321"/>
      <c r="B23" s="334" t="s">
        <v>165</v>
      </c>
      <c r="C23" s="347" t="s">
        <v>166</v>
      </c>
      <c r="D23" s="336" t="s">
        <v>95</v>
      </c>
      <c r="F23" s="337">
        <v>127218</v>
      </c>
      <c r="G23" s="338">
        <v>0</v>
      </c>
      <c r="H23" s="339">
        <f t="shared" si="2"/>
        <v>0</v>
      </c>
      <c r="J23" s="340">
        <v>0</v>
      </c>
      <c r="K23" s="339">
        <f t="shared" si="0"/>
        <v>0</v>
      </c>
      <c r="L23" s="338">
        <f t="shared" si="1"/>
        <v>0</v>
      </c>
      <c r="M23" s="339">
        <f t="shared" si="1"/>
        <v>0</v>
      </c>
    </row>
    <row r="24" spans="1:13">
      <c r="A24" s="321"/>
      <c r="B24" s="334" t="s">
        <v>167</v>
      </c>
      <c r="C24" s="347" t="s">
        <v>168</v>
      </c>
      <c r="D24" s="336" t="s">
        <v>95</v>
      </c>
      <c r="F24" s="337">
        <v>61059</v>
      </c>
      <c r="G24" s="338">
        <v>0</v>
      </c>
      <c r="H24" s="339">
        <f t="shared" si="2"/>
        <v>0</v>
      </c>
      <c r="J24" s="340">
        <v>0</v>
      </c>
      <c r="K24" s="339">
        <f t="shared" si="0"/>
        <v>0</v>
      </c>
      <c r="L24" s="338">
        <f t="shared" si="1"/>
        <v>0</v>
      </c>
      <c r="M24" s="339">
        <f t="shared" si="1"/>
        <v>0</v>
      </c>
    </row>
    <row r="25" spans="1:13" ht="15.6">
      <c r="A25" s="321"/>
      <c r="B25" s="344" t="s">
        <v>169</v>
      </c>
      <c r="C25" s="347" t="s">
        <v>170</v>
      </c>
      <c r="D25" s="336" t="s">
        <v>95</v>
      </c>
      <c r="F25" s="337">
        <v>42702</v>
      </c>
      <c r="G25" s="338">
        <v>0</v>
      </c>
      <c r="H25" s="339">
        <f t="shared" si="2"/>
        <v>0</v>
      </c>
      <c r="J25" s="340">
        <v>0</v>
      </c>
      <c r="K25" s="339">
        <f t="shared" si="0"/>
        <v>0</v>
      </c>
      <c r="L25" s="338">
        <f t="shared" si="1"/>
        <v>0</v>
      </c>
      <c r="M25" s="339">
        <f t="shared" si="1"/>
        <v>0</v>
      </c>
    </row>
    <row r="26" spans="1:13" ht="15.75" customHeight="1">
      <c r="A26" s="321"/>
      <c r="B26" s="334" t="s">
        <v>171</v>
      </c>
      <c r="C26" s="343" t="s">
        <v>89</v>
      </c>
      <c r="D26" s="336"/>
      <c r="F26" s="337"/>
      <c r="G26" s="338"/>
      <c r="H26" s="339"/>
      <c r="J26" s="340"/>
      <c r="K26" s="339"/>
      <c r="L26" s="338"/>
      <c r="M26" s="339">
        <f t="shared" si="1"/>
        <v>0</v>
      </c>
    </row>
    <row r="27" spans="1:13" ht="15.6">
      <c r="A27" s="321"/>
      <c r="B27" s="344" t="s">
        <v>172</v>
      </c>
      <c r="C27" s="347" t="s">
        <v>89</v>
      </c>
      <c r="D27" s="336" t="s">
        <v>96</v>
      </c>
      <c r="F27" s="337">
        <v>0</v>
      </c>
      <c r="G27" s="338">
        <v>0</v>
      </c>
      <c r="H27" s="339">
        <f t="shared" si="2"/>
        <v>0</v>
      </c>
      <c r="J27" s="340">
        <v>0</v>
      </c>
      <c r="K27" s="339">
        <f t="shared" si="0"/>
        <v>0</v>
      </c>
      <c r="L27" s="338">
        <f t="shared" si="1"/>
        <v>0</v>
      </c>
      <c r="M27" s="339">
        <f t="shared" si="1"/>
        <v>0</v>
      </c>
    </row>
    <row r="28" spans="1:13">
      <c r="A28" s="321"/>
      <c r="B28" s="334" t="s">
        <v>173</v>
      </c>
      <c r="C28" s="322" t="s">
        <v>136</v>
      </c>
      <c r="D28" s="336" t="s">
        <v>96</v>
      </c>
      <c r="F28" s="337">
        <v>0</v>
      </c>
      <c r="G28" s="338">
        <v>0</v>
      </c>
      <c r="H28" s="339">
        <f t="shared" si="2"/>
        <v>0</v>
      </c>
      <c r="J28" s="340">
        <v>0</v>
      </c>
      <c r="K28" s="339">
        <f t="shared" si="0"/>
        <v>0</v>
      </c>
      <c r="L28" s="338">
        <f t="shared" si="1"/>
        <v>0</v>
      </c>
      <c r="M28" s="339">
        <f t="shared" si="1"/>
        <v>0</v>
      </c>
    </row>
    <row r="29" spans="1:13" ht="15.6">
      <c r="A29" s="321"/>
      <c r="B29" s="344" t="s">
        <v>174</v>
      </c>
      <c r="C29" s="348" t="s">
        <v>175</v>
      </c>
      <c r="D29" s="336"/>
      <c r="E29" s="349">
        <v>2.6659999999999999</v>
      </c>
      <c r="F29" s="337"/>
      <c r="G29" s="338"/>
      <c r="H29" s="339"/>
      <c r="J29" s="340"/>
      <c r="K29" s="339"/>
      <c r="L29" s="338"/>
      <c r="M29" s="339">
        <f t="shared" si="1"/>
        <v>0</v>
      </c>
    </row>
    <row r="30" spans="1:13" ht="16.5" customHeight="1">
      <c r="A30" s="321"/>
      <c r="B30" s="334" t="s">
        <v>176</v>
      </c>
      <c r="C30" s="347" t="s">
        <v>177</v>
      </c>
      <c r="D30" s="336" t="s">
        <v>178</v>
      </c>
      <c r="E30" s="350" t="e">
        <f>+E29-#REF!</f>
        <v>#REF!</v>
      </c>
      <c r="F30" s="337">
        <v>1778910</v>
      </c>
      <c r="G30" s="351">
        <v>0.33</v>
      </c>
      <c r="H30" s="339">
        <f t="shared" si="2"/>
        <v>587040.30000000005</v>
      </c>
      <c r="J30" s="340">
        <v>0.1</v>
      </c>
      <c r="K30" s="339">
        <f t="shared" si="0"/>
        <v>177891</v>
      </c>
      <c r="L30" s="351">
        <f t="shared" si="1"/>
        <v>0.43000000000000005</v>
      </c>
      <c r="M30" s="339">
        <f t="shared" si="1"/>
        <v>764931.3</v>
      </c>
    </row>
    <row r="31" spans="1:13" ht="15.6">
      <c r="A31" s="321"/>
      <c r="B31" s="344" t="s">
        <v>179</v>
      </c>
      <c r="C31" s="348" t="s">
        <v>180</v>
      </c>
      <c r="D31" s="336"/>
      <c r="F31" s="337"/>
      <c r="G31" s="338"/>
      <c r="H31" s="339"/>
      <c r="J31" s="340"/>
      <c r="K31" s="339"/>
      <c r="L31" s="338"/>
      <c r="M31" s="339">
        <f t="shared" si="1"/>
        <v>0</v>
      </c>
    </row>
    <row r="32" spans="1:13" ht="16.5" customHeight="1">
      <c r="A32" s="321"/>
      <c r="B32" s="334" t="s">
        <v>181</v>
      </c>
      <c r="C32" s="347" t="s">
        <v>93</v>
      </c>
      <c r="D32" s="336" t="s">
        <v>96</v>
      </c>
      <c r="F32" s="337">
        <v>40000000</v>
      </c>
      <c r="G32" s="338">
        <v>0</v>
      </c>
      <c r="H32" s="339">
        <f t="shared" si="2"/>
        <v>0</v>
      </c>
      <c r="J32" s="340">
        <v>0</v>
      </c>
      <c r="K32" s="339">
        <f t="shared" si="0"/>
        <v>0</v>
      </c>
      <c r="L32" s="338">
        <f t="shared" si="1"/>
        <v>0</v>
      </c>
      <c r="M32" s="339">
        <f t="shared" si="1"/>
        <v>0</v>
      </c>
    </row>
    <row r="33" spans="1:15" ht="15.75" customHeight="1">
      <c r="A33" s="321"/>
      <c r="B33" s="334">
        <v>7</v>
      </c>
      <c r="C33" s="348" t="s">
        <v>134</v>
      </c>
      <c r="D33" s="352"/>
      <c r="E33" s="353"/>
      <c r="F33" s="337"/>
      <c r="G33" s="338"/>
      <c r="H33" s="339"/>
      <c r="J33" s="340"/>
      <c r="K33" s="339"/>
      <c r="L33" s="338"/>
      <c r="M33" s="339">
        <f t="shared" si="1"/>
        <v>0</v>
      </c>
    </row>
    <row r="34" spans="1:15" ht="15.75" customHeight="1">
      <c r="A34" s="321"/>
      <c r="B34" s="334">
        <v>7.1</v>
      </c>
      <c r="C34" s="354" t="s">
        <v>135</v>
      </c>
      <c r="D34" s="336" t="s">
        <v>96</v>
      </c>
      <c r="E34" s="355"/>
      <c r="F34" s="337">
        <v>3387136</v>
      </c>
      <c r="G34" s="338">
        <v>0</v>
      </c>
      <c r="H34" s="339">
        <f t="shared" si="2"/>
        <v>0</v>
      </c>
      <c r="J34" s="340">
        <v>0</v>
      </c>
      <c r="K34" s="339">
        <f t="shared" si="0"/>
        <v>0</v>
      </c>
      <c r="L34" s="338">
        <f t="shared" si="1"/>
        <v>0</v>
      </c>
      <c r="M34" s="339">
        <f t="shared" si="1"/>
        <v>0</v>
      </c>
    </row>
    <row r="35" spans="1:15" ht="15.6" thickBot="1">
      <c r="A35" s="321"/>
      <c r="B35" s="356"/>
      <c r="C35" s="357"/>
      <c r="D35" s="358"/>
      <c r="F35" s="359"/>
      <c r="G35" s="360"/>
      <c r="H35" s="361"/>
      <c r="J35" s="362"/>
      <c r="K35" s="361"/>
      <c r="L35" s="360"/>
      <c r="M35" s="361"/>
    </row>
    <row r="36" spans="1:15" ht="26.25" customHeight="1" thickBot="1">
      <c r="A36" s="321"/>
      <c r="B36" s="363"/>
      <c r="C36" s="364" t="s">
        <v>105</v>
      </c>
      <c r="D36" s="365"/>
      <c r="E36" s="353"/>
      <c r="F36" s="366"/>
      <c r="G36" s="367"/>
      <c r="H36" s="368">
        <f>SUM(H11:H35)</f>
        <v>7282646.2999999998</v>
      </c>
      <c r="I36" s="353" t="e">
        <f>+#REF!+#REF!+#REF!</f>
        <v>#REF!</v>
      </c>
      <c r="J36" s="369"/>
      <c r="K36" s="368">
        <f>SUM(K10:K35)</f>
        <v>2511023</v>
      </c>
      <c r="L36" s="367"/>
      <c r="M36" s="368">
        <f>SUM(M11:M35)</f>
        <v>9793669.3000000007</v>
      </c>
      <c r="N36" s="353">
        <f>+K36+H36</f>
        <v>9793669.3000000007</v>
      </c>
      <c r="O36" s="353"/>
    </row>
    <row r="37" spans="1:15">
      <c r="A37" s="321"/>
      <c r="B37" s="321"/>
      <c r="C37" s="321"/>
      <c r="D37" s="321"/>
    </row>
    <row r="38" spans="1:15">
      <c r="A38" s="321"/>
      <c r="B38" s="321"/>
      <c r="C38" s="321"/>
      <c r="H38" s="370"/>
      <c r="J38" s="371">
        <v>0.13333333333333333</v>
      </c>
      <c r="K38" s="372"/>
    </row>
    <row r="39" spans="1:15">
      <c r="H39" s="353"/>
      <c r="K39" s="373"/>
    </row>
    <row r="40" spans="1:15">
      <c r="H40" s="353"/>
      <c r="K40" s="374"/>
    </row>
    <row r="42" spans="1:15">
      <c r="J42" s="349"/>
    </row>
  </sheetData>
  <mergeCells count="11">
    <mergeCell ref="L8:M8"/>
    <mergeCell ref="B3:M3"/>
    <mergeCell ref="B5:M6"/>
    <mergeCell ref="F7:H7"/>
    <mergeCell ref="J7:M7"/>
    <mergeCell ref="B8:B9"/>
    <mergeCell ref="C8:C9"/>
    <mergeCell ref="D8:D9"/>
    <mergeCell ref="F8:F9"/>
    <mergeCell ref="G8:H8"/>
    <mergeCell ref="J8:K8"/>
  </mergeCells>
  <pageMargins left="0.7" right="0.7" top="0.75" bottom="0.75" header="0.3" footer="0.3"/>
  <pageSetup paperSize="9" scale="45" orientation="portrait" horizontalDpi="4294967292" verticalDpi="0" r:id="rId1"/>
  <colBreaks count="1" manualBreakCount="1">
    <brk id="1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DB2B670564E04583D97FE6C4B3ED31" ma:contentTypeVersion="37" ma:contentTypeDescription="Crear nuevo documento." ma:contentTypeScope="" ma:versionID="c78c6cf6803af80bb1dccb039e144438">
  <xsd:schema xmlns:xsd="http://www.w3.org/2001/XMLSchema" xmlns:xs="http://www.w3.org/2001/XMLSchema" xmlns:p="http://schemas.microsoft.com/office/2006/metadata/properties" xmlns:ns1="http://schemas.microsoft.com/sharepoint/v3" xmlns:ns2="d07bd14f-6925-46e2-8e14-fb6969e378e4" targetNamespace="http://schemas.microsoft.com/office/2006/metadata/properties" ma:root="true" ma:fieldsID="ee02a9926c075b5a42efc9448eb79618" ns1:_="" ns2:_="">
    <xsd:import namespace="http://schemas.microsoft.com/sharepoint/v3"/>
    <xsd:import namespace="d07bd14f-6925-46e2-8e14-fb6969e378e4"/>
    <xsd:element name="properties">
      <xsd:complexType>
        <xsd:sequence>
          <xsd:element name="documentManagement">
            <xsd:complexType>
              <xsd:all>
                <xsd:element ref="ns2:C_x00f3_digo"/>
                <xsd:element ref="ns2:Descripci_x00f3_n"/>
                <xsd:element ref="ns2:Revisi_x00f3_n"/>
                <xsd:element ref="ns2:Tipo_x0020_Documento" minOccurs="0"/>
                <xsd:element ref="ns2:Temas0" minOccurs="0"/>
                <xsd:element ref="ns2:Estado0"/>
                <xsd:element ref="ns2:Subtipo"/>
                <xsd:element ref="ns2:Gerencia0" minOccurs="0"/>
                <xsd:element ref="ns2:Proceso0" minOccurs="0"/>
                <xsd:element ref="ns2:Fecha_x0020_de_x0020_emisi_x00f3_n"/>
                <xsd:element ref="ns2:Fecha_x0020_Expiraci_x00f3_n" minOccurs="0"/>
                <xsd:element ref="ns2:Disposicion"/>
                <xsd:element ref="ns1:PublishingStartDate" minOccurs="0"/>
                <xsd:element ref="ns1:PublishingExpirationDate" minOccurs="0"/>
                <xsd:element ref="ns2:Orde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7" nillable="true" ma:displayName="Fecha de finalización programada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bd14f-6925-46e2-8e14-fb6969e378e4" elementFormDefault="qualified">
    <xsd:import namespace="http://schemas.microsoft.com/office/2006/documentManagement/types"/>
    <xsd:import namespace="http://schemas.microsoft.com/office/infopath/2007/PartnerControls"/>
    <xsd:element name="C_x00f3_digo" ma:index="2" ma:displayName="Código Documento" ma:internalName="C_x00f3_digo">
      <xsd:simpleType>
        <xsd:restriction base="dms:Text">
          <xsd:maxLength value="255"/>
        </xsd:restriction>
      </xsd:simpleType>
    </xsd:element>
    <xsd:element name="Descripci_x00f3_n" ma:index="3" ma:displayName="Descripción" ma:internalName="Descripci_x00f3_n">
      <xsd:simpleType>
        <xsd:restriction base="dms:Note">
          <xsd:maxLength value="255"/>
        </xsd:restriction>
      </xsd:simpleType>
    </xsd:element>
    <xsd:element name="Revisi_x00f3_n" ma:index="4" ma:displayName="Revisión" ma:internalName="Revisi_x00f3_n">
      <xsd:simpleType>
        <xsd:restriction base="dms:Number">
          <xsd:maxInclusive value="99"/>
          <xsd:minInclusive value="0"/>
        </xsd:restriction>
      </xsd:simpleType>
    </xsd:element>
    <xsd:element name="Tipo_x0020_Documento" ma:index="5" nillable="true" ma:displayName="Tipo Documento" ma:list="{6d990dd3-f81c-4ee5-9aea-9ef3455db121}" ma:internalName="Tipo_x0020_Documento" ma:readOnly="false" ma:showField="Title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as0" ma:index="6" nillable="true" ma:displayName="Temas" ma:list="{b6fc3575-87b7-4cd8-a767-742742da9f7f}" ma:internalName="Temas0" ma:readOnly="false" ma:showField="Title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stado0" ma:index="7" ma:displayName="Estado" ma:list="{ad5421e5-ac42-4f4f-8c0c-1efbbe0d1800}" ma:internalName="Estado0" ma:readOnly="false" ma:showField="Title">
      <xsd:simpleType>
        <xsd:restriction base="dms:Lookup"/>
      </xsd:simpleType>
    </xsd:element>
    <xsd:element name="Subtipo" ma:index="8" ma:displayName="Subtipo" ma:list="{d2a7265c-5e01-4b65-a7c1-eed9eba83bd1}" ma:internalName="Subtipo" ma:readOnly="false" ma:showField="Title">
      <xsd:simpleType>
        <xsd:restriction base="dms:Lookup"/>
      </xsd:simpleType>
    </xsd:element>
    <xsd:element name="Gerencia0" ma:index="9" nillable="true" ma:displayName="Gerencia" ma:list="{19096289-c066-4095-9e83-7d221919fb1d}" ma:internalName="Gerencia0" ma:readOnly="false" ma:showField="Title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oceso0" ma:index="10" nillable="true" ma:displayName="Proceso" ma:list="{7eee1a1f-57b7-4d21-b022-806c89561228}" ma:internalName="Proceso0" ma:readOnly="false" ma:showField="Title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echa_x0020_de_x0020_emisi_x00f3_n" ma:index="11" ma:displayName="Fecha de emisión" ma:format="DateOnly" ma:internalName="Fecha_x0020_de_x0020_emisi_x00f3_n">
      <xsd:simpleType>
        <xsd:restriction base="dms:DateTime"/>
      </xsd:simpleType>
    </xsd:element>
    <xsd:element name="Fecha_x0020_Expiraci_x00f3_n" ma:index="12" nillable="true" ma:displayName="Fecha de expiración" ma:format="DateOnly" ma:internalName="Fecha_x0020_Expiraci_x00f3_n">
      <xsd:simpleType>
        <xsd:restriction base="dms:DateTime"/>
      </xsd:simpleType>
    </xsd:element>
    <xsd:element name="Disposicion" ma:index="13" ma:displayName="Disposicion" ma:list="{c830dff4-9932-4374-874d-e61a35e44aec}" ma:internalName="Disposicion" ma:readOnly="false" ma:showField="Title">
      <xsd:simpleType>
        <xsd:restriction base="dms:Lookup"/>
      </xsd:simpleType>
    </xsd:element>
    <xsd:element name="Orden" ma:index="22" ma:displayName="Orden" ma:description="Corresponde al ordenamiento de los documentos en las vistas:&#10;0 Política&#10;1 Manuales&#10;2 Procedimiento&#10;3 Instructivo&#10;4 Formularios&#10;5 Otros" ma:internalName="Orden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_x0020_Expiraci_x00f3_n xmlns="d07bd14f-6925-46e2-8e14-fb6969e378e4" xsi:nil="true"/>
    <Tipo_x0020_Documento xmlns="d07bd14f-6925-46e2-8e14-fb6969e378e4">
      <Value>1</Value>
    </Tipo_x0020_Documento>
    <Gerencia0 xmlns="d07bd14f-6925-46e2-8e14-fb6969e378e4">
      <Value>1</Value>
    </Gerencia0>
    <Revisi_x00f3_n xmlns="d07bd14f-6925-46e2-8e14-fb6969e378e4">0</Revisi_x00f3_n>
    <C_x00f3_digo xmlns="d07bd14f-6925-46e2-8e14-fb6969e378e4">GCAB-R-036</C_x00f3_digo>
    <Estado0 xmlns="d07bd14f-6925-46e2-8e14-fb6969e378e4">2</Estado0>
    <PublishingStartDate xmlns="http://schemas.microsoft.com/sharepoint/v3" xsi:nil="true"/>
    <PublishingExpirationDate xmlns="http://schemas.microsoft.com/sharepoint/v3" xsi:nil="true"/>
    <Temas0 xmlns="d07bd14f-6925-46e2-8e14-fb6969e378e4">
      <Value>37</Value>
    </Temas0>
    <Fecha_x0020_de_x0020_emisi_x00f3_n xmlns="d07bd14f-6925-46e2-8e14-fb6969e378e4">2018-08-09T04:00:00+00:00</Fecha_x0020_de_x0020_emisi_x00f3_n>
    <Proceso0 xmlns="d07bd14f-6925-46e2-8e14-fb6969e378e4">
      <Value>11</Value>
    </Proceso0>
    <Orden xmlns="d07bd14f-6925-46e2-8e14-fb6969e378e4">4</Orden>
    <Subtipo xmlns="d07bd14f-6925-46e2-8e14-fb6969e378e4">2</Subtipo>
    <Disposicion xmlns="d07bd14f-6925-46e2-8e14-fb6969e378e4">1</Disposicion>
    <Descripci_x00f3_n xmlns="d07bd14f-6925-46e2-8e14-fb6969e378e4">Formulario para presentar EEPP</Descripci_x00f3_n>
  </documentManagement>
</p:properties>
</file>

<file path=customXml/itemProps1.xml><?xml version="1.0" encoding="utf-8"?>
<ds:datastoreItem xmlns:ds="http://schemas.openxmlformats.org/officeDocument/2006/customXml" ds:itemID="{35B9552C-F140-4276-B3DC-1906233A94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DD9C4-36F3-4186-9D80-0D8994BF8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07bd14f-6925-46e2-8e14-fb6969e378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C35A9B-B42E-4519-8E9B-0F0D1F0A5884}">
  <ds:schemaRefs>
    <ds:schemaRef ds:uri="http://www.w3.org/XML/1998/namespace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d07bd14f-6925-46e2-8e14-fb6969e378e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PORTADA</vt:lpstr>
      <vt:lpstr>CARATULA EP </vt:lpstr>
      <vt:lpstr>EDP 001</vt:lpstr>
      <vt:lpstr>Cuadro Control</vt:lpstr>
      <vt:lpstr>NOC-1</vt:lpstr>
      <vt:lpstr>'CARATULA EP '!Área_de_impresión</vt:lpstr>
      <vt:lpstr>'EDP 001'!Área_de_impresión</vt:lpstr>
      <vt:lpstr>'NOC-1'!Área_de_impresión</vt:lpstr>
      <vt:lpstr>PORTADA!Área_de_impresión</vt:lpstr>
    </vt:vector>
  </TitlesOfParts>
  <Company>CODELCO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Choque Ernesto (Contratista-DMH)</dc:creator>
  <cp:lastModifiedBy>Victor Henriquez</cp:lastModifiedBy>
  <cp:lastPrinted>2022-10-28T14:54:33Z</cp:lastPrinted>
  <dcterms:created xsi:type="dcterms:W3CDTF">2016-08-03T13:43:34Z</dcterms:created>
  <dcterms:modified xsi:type="dcterms:W3CDTF">2025-11-11T19:37:21Z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0x0101008CDB2B670564E04583D97FE6C4B3ED31</vt:lpwstr>
  </property>
</Properties>
</file>