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henr\OneDrive\Escritorio\"/>
    </mc:Choice>
  </mc:AlternateContent>
  <xr:revisionPtr revIDLastSave="0" documentId="8_{D3F53B8B-3F1A-4D0F-8944-3B3FBE5987E5}" xr6:coauthVersionLast="47" xr6:coauthVersionMax="47" xr10:uidLastSave="{00000000-0000-0000-0000-000000000000}"/>
  <bookViews>
    <workbookView xWindow="-108" yWindow="-108" windowWidth="23256" windowHeight="12456" xr2:uid="{9650926A-E957-4B54-B078-9D03F7E1B668}"/>
  </bookViews>
  <sheets>
    <sheet name="Hoja1" sheetId="1" r:id="rId1"/>
  </sheets>
  <definedNames>
    <definedName name="_xlnm.Print_Area" localSheetId="0">Hoja1!$A$1:$BH$52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1" l="1"/>
  <c r="G3" i="1"/>
  <c r="I3" i="1"/>
  <c r="BH3" i="1"/>
  <c r="G4" i="1"/>
  <c r="I4" i="1"/>
  <c r="BH4" i="1"/>
  <c r="G5" i="1"/>
  <c r="I5" i="1"/>
  <c r="BH5" i="1"/>
  <c r="I6" i="1"/>
  <c r="BH6" i="1"/>
  <c r="G7" i="1"/>
  <c r="I7" i="1"/>
  <c r="BH7" i="1"/>
  <c r="G8" i="1"/>
  <c r="I8" i="1"/>
  <c r="BH8" i="1"/>
  <c r="I9" i="1"/>
  <c r="BH9" i="1"/>
  <c r="G10" i="1"/>
  <c r="I10" i="1"/>
  <c r="BH10" i="1"/>
  <c r="G11" i="1"/>
  <c r="I11" i="1"/>
  <c r="BH11" i="1"/>
  <c r="G12" i="1"/>
  <c r="I12" i="1"/>
  <c r="BH12" i="1"/>
  <c r="G13" i="1"/>
  <c r="I13" i="1"/>
  <c r="BH13" i="1"/>
  <c r="G14" i="1"/>
  <c r="I14" i="1"/>
  <c r="BH14" i="1"/>
  <c r="G15" i="1"/>
  <c r="I15" i="1"/>
  <c r="BH15" i="1"/>
  <c r="G16" i="1"/>
  <c r="I16" i="1"/>
  <c r="BH16" i="1"/>
  <c r="G17" i="1"/>
  <c r="I17" i="1"/>
  <c r="BH17" i="1"/>
  <c r="I18" i="1"/>
  <c r="BH18" i="1"/>
  <c r="G19" i="1"/>
  <c r="I19" i="1"/>
  <c r="BH19" i="1"/>
  <c r="G20" i="1"/>
  <c r="I20" i="1"/>
  <c r="BH20" i="1"/>
  <c r="I21" i="1"/>
  <c r="BH21" i="1"/>
  <c r="G22" i="1"/>
  <c r="I22" i="1"/>
  <c r="BH22" i="1"/>
  <c r="I23" i="1"/>
  <c r="BH23" i="1"/>
  <c r="G24" i="1"/>
  <c r="I24" i="1"/>
  <c r="BH24" i="1"/>
  <c r="G25" i="1"/>
  <c r="I25" i="1"/>
  <c r="BH25" i="1"/>
  <c r="I26" i="1"/>
  <c r="BH26" i="1"/>
  <c r="G27" i="1"/>
  <c r="I27" i="1"/>
  <c r="BH27" i="1"/>
  <c r="BH28" i="1"/>
  <c r="G29" i="1"/>
  <c r="BH29" i="1"/>
  <c r="BH30" i="1"/>
  <c r="E31" i="1"/>
  <c r="BH31" i="1"/>
  <c r="G31" i="1" l="1"/>
  <c r="I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Henriquez</author>
  </authors>
  <commentList>
    <comment ref="BH1" authorId="0" shapeId="0" xr:uid="{307F22D5-7DEC-4AA1-9715-014C0FFDCFB9}">
      <text>
        <r>
          <rPr>
            <b/>
            <sz val="9"/>
            <color indexed="81"/>
            <rFont val="Tahoma"/>
            <family val="2"/>
          </rPr>
          <t>Q de todas las ODS realizadas al 26-10-2025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<sst xmlns="http://schemas.openxmlformats.org/spreadsheetml/2006/main" count="182" uniqueCount="118">
  <si>
    <t>Nº</t>
  </si>
  <si>
    <t>ITEM</t>
  </si>
  <si>
    <t>U</t>
  </si>
  <si>
    <t>Cantidad</t>
  </si>
  <si>
    <t>PU</t>
  </si>
  <si>
    <t>NOC01</t>
  </si>
  <si>
    <t>Vigente</t>
  </si>
  <si>
    <t>1.</t>
  </si>
  <si>
    <t>Servicios de Topografía</t>
  </si>
  <si>
    <t>1.1.</t>
  </si>
  <si>
    <t xml:space="preserve">Ingeniero Geomensor </t>
  </si>
  <si>
    <t>HH</t>
  </si>
  <si>
    <t>1.2.</t>
  </si>
  <si>
    <t>Topógrafo</t>
  </si>
  <si>
    <t>1.3.</t>
  </si>
  <si>
    <t>Alarife</t>
  </si>
  <si>
    <t>2.</t>
  </si>
  <si>
    <t>Servicios Especiales</t>
  </si>
  <si>
    <t>2.1.</t>
  </si>
  <si>
    <t>Batimetría</t>
  </si>
  <si>
    <t>día</t>
  </si>
  <si>
    <t>2.2.</t>
  </si>
  <si>
    <t>Detección de Interferencias</t>
  </si>
  <si>
    <t>3.</t>
  </si>
  <si>
    <t>Equipos</t>
  </si>
  <si>
    <t>3.1.</t>
  </si>
  <si>
    <t>GPS Geodésico tiempo real</t>
  </si>
  <si>
    <t>3.2.</t>
  </si>
  <si>
    <t>Estación Total</t>
  </si>
  <si>
    <t>3.3.</t>
  </si>
  <si>
    <t>Nivel de Ingeniero</t>
  </si>
  <si>
    <t>3.4.</t>
  </si>
  <si>
    <t>Nivel de Ingeniero de alta precisión</t>
  </si>
  <si>
    <t>3.5.</t>
  </si>
  <si>
    <t>Escáner Láser Estructural</t>
  </si>
  <si>
    <t>3.6.</t>
  </si>
  <si>
    <t>Escáner Láser Terrestre</t>
  </si>
  <si>
    <t>3.7.</t>
  </si>
  <si>
    <t>Dron Multirotor</t>
  </si>
  <si>
    <t>3.8.</t>
  </si>
  <si>
    <t>Dron Ala Fija</t>
  </si>
  <si>
    <t>4.</t>
  </si>
  <si>
    <t>Servicios de Laboratorio</t>
  </si>
  <si>
    <t>4.1.</t>
  </si>
  <si>
    <t>Valor</t>
  </si>
  <si>
    <t>4.2</t>
  </si>
  <si>
    <t>Gestión Geosupport (5%)</t>
  </si>
  <si>
    <t>5.</t>
  </si>
  <si>
    <t>Gastos de Apoyo a Tarifa convenida:</t>
  </si>
  <si>
    <t>5.1</t>
  </si>
  <si>
    <t xml:space="preserve">Vehículo Petrolero Tracción Doble </t>
  </si>
  <si>
    <t>Mes</t>
  </si>
  <si>
    <t>6.</t>
  </si>
  <si>
    <t>Gastos de Apoyo a costo efectivo</t>
  </si>
  <si>
    <t>6.1</t>
  </si>
  <si>
    <t>Gastos Reembolsables</t>
  </si>
  <si>
    <t>6.2</t>
  </si>
  <si>
    <t>Gestión Geosupport(3%)</t>
  </si>
  <si>
    <t>COVID-19</t>
  </si>
  <si>
    <t>7.1</t>
  </si>
  <si>
    <t>Medidas COVID-19 /  SIGO-EES-001</t>
  </si>
  <si>
    <t>ACUERDO MARCO</t>
  </si>
  <si>
    <t>Acuerdo Marco 2023</t>
  </si>
  <si>
    <t>ODS 1</t>
  </si>
  <si>
    <t>Total</t>
  </si>
  <si>
    <t>ODS 2</t>
  </si>
  <si>
    <t>ODS 3</t>
  </si>
  <si>
    <t>ODS 4</t>
  </si>
  <si>
    <t>ODS 5</t>
  </si>
  <si>
    <t>TOTALES</t>
  </si>
  <si>
    <t>ODS 7</t>
  </si>
  <si>
    <t>ODS 8</t>
  </si>
  <si>
    <t>ODS 10</t>
  </si>
  <si>
    <t>ODS 11</t>
  </si>
  <si>
    <t>ODS 12</t>
  </si>
  <si>
    <t>ODS 13</t>
  </si>
  <si>
    <t>ODS 14</t>
  </si>
  <si>
    <t>ODS 16</t>
  </si>
  <si>
    <t>ODS 17</t>
  </si>
  <si>
    <t>ODS 18</t>
  </si>
  <si>
    <t>ODS 19</t>
  </si>
  <si>
    <t>ODS 20</t>
  </si>
  <si>
    <t>ODS 21</t>
  </si>
  <si>
    <t>ODS 22</t>
  </si>
  <si>
    <t>ODS 23</t>
  </si>
  <si>
    <t>ODS 24</t>
  </si>
  <si>
    <t>ODS 25</t>
  </si>
  <si>
    <t>ODS 26</t>
  </si>
  <si>
    <t>ODS 27</t>
  </si>
  <si>
    <t>ODS 28</t>
  </si>
  <si>
    <t>ODS 29</t>
  </si>
  <si>
    <t>ODS 30</t>
  </si>
  <si>
    <t>ODS 31</t>
  </si>
  <si>
    <t>ODS 32</t>
  </si>
  <si>
    <t>ODS 33</t>
  </si>
  <si>
    <t>ODS 34</t>
  </si>
  <si>
    <t>ODS 35</t>
  </si>
  <si>
    <t>ODS 36</t>
  </si>
  <si>
    <t>ODS 37</t>
  </si>
  <si>
    <t>ODS 39</t>
  </si>
  <si>
    <t>ODS 40</t>
  </si>
  <si>
    <t>ODS 41</t>
  </si>
  <si>
    <t>ODS 42</t>
  </si>
  <si>
    <t>ODS 43</t>
  </si>
  <si>
    <t>ODS 44</t>
  </si>
  <si>
    <t>ODS 45</t>
  </si>
  <si>
    <t>ODS 46</t>
  </si>
  <si>
    <t>ODS 47</t>
  </si>
  <si>
    <t>ODS 48</t>
  </si>
  <si>
    <t>ODS 49</t>
  </si>
  <si>
    <t>ODS 50</t>
  </si>
  <si>
    <t>ODS 51</t>
  </si>
  <si>
    <t>ODS 52</t>
  </si>
  <si>
    <t>ODS 53</t>
  </si>
  <si>
    <t xml:space="preserve">ODS TERMINADAS </t>
  </si>
  <si>
    <t>ODS ACTIVAS</t>
  </si>
  <si>
    <t>NOC-4</t>
  </si>
  <si>
    <t>Monto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</si>
</sst>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.00_);_(* \(#,##0.00\);_(* &quot;-&quot;??_);_(@_)"/>
    <numFmt numFmtId="168" formatCode="_-* #,##0_-;\-* #,##0_-;_-* &quot;-&quot;??_-;_-@_-"/>
    <numFmt numFmtId="169" formatCode="_-&quot;$&quot;* #,##0_-;\-&quot;$&quot;* #,##0_-;_-&quot;$&quot;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3" applyFont="1" applyFill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 wrapText="1"/>
    </xf>
    <xf numFmtId="0" fontId="2" fillId="2" borderId="2" xfId="3" applyFont="1" applyFill="1" applyBorder="1" applyAlignment="1">
      <alignment horizontal="center" vertical="center" wrapText="1"/>
    </xf>
    <xf numFmtId="0" fontId="2" fillId="7" borderId="1" xfId="3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5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6" fillId="3" borderId="1" xfId="3" applyFont="1" applyFill="1" applyBorder="1" applyAlignment="1">
      <alignment horizontal="left" vertical="center" wrapText="1"/>
    </xf>
    <xf numFmtId="0" fontId="5" fillId="3" borderId="1" xfId="3" applyFont="1" applyFill="1" applyBorder="1" applyAlignment="1">
      <alignment horizontal="center" vertical="center"/>
    </xf>
    <xf numFmtId="168" fontId="5" fillId="3" borderId="1" xfId="4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5" fillId="0" borderId="1" xfId="3" applyFont="1" applyBorder="1" applyAlignment="1">
      <alignment wrapText="1"/>
    </xf>
    <xf numFmtId="0" fontId="5" fillId="4" borderId="1" xfId="3" applyFont="1" applyFill="1" applyBorder="1" applyAlignment="1">
      <alignment horizontal="left" vertical="center" indent="1"/>
    </xf>
    <xf numFmtId="0" fontId="5" fillId="4" borderId="1" xfId="3" applyFont="1" applyFill="1" applyBorder="1" applyAlignment="1">
      <alignment horizontal="center" vertical="center"/>
    </xf>
    <xf numFmtId="3" fontId="5" fillId="4" borderId="1" xfId="3" applyNumberFormat="1" applyFont="1" applyFill="1" applyBorder="1" applyAlignment="1">
      <alignment horizontal="right" vertical="center"/>
    </xf>
    <xf numFmtId="3" fontId="5" fillId="4" borderId="1" xfId="4" applyNumberFormat="1" applyFont="1" applyFill="1" applyBorder="1" applyAlignment="1">
      <alignment horizontal="right" vertical="center"/>
    </xf>
    <xf numFmtId="3" fontId="5" fillId="4" borderId="4" xfId="4" applyNumberFormat="1" applyFont="1" applyFill="1" applyBorder="1" applyAlignment="1">
      <alignment horizontal="right" vertical="center"/>
    </xf>
    <xf numFmtId="0" fontId="5" fillId="3" borderId="1" xfId="3" applyFont="1" applyFill="1" applyBorder="1" applyAlignment="1">
      <alignment wrapText="1"/>
    </xf>
    <xf numFmtId="0" fontId="5" fillId="4" borderId="1" xfId="3" applyFont="1" applyFill="1" applyBorder="1" applyAlignment="1">
      <alignment horizontal="right" vertical="center"/>
    </xf>
    <xf numFmtId="169" fontId="1" fillId="0" borderId="1" xfId="2" applyNumberFormat="1" applyFont="1" applyBorder="1" applyAlignment="1">
      <alignment horizontal="center"/>
    </xf>
    <xf numFmtId="165" fontId="1" fillId="0" borderId="1" xfId="2" applyFont="1" applyBorder="1" applyAlignment="1">
      <alignment horizontal="center"/>
    </xf>
    <xf numFmtId="165" fontId="1" fillId="6" borderId="1" xfId="2" applyFont="1" applyFill="1" applyBorder="1" applyAlignment="1">
      <alignment horizontal="center"/>
    </xf>
    <xf numFmtId="3" fontId="5" fillId="3" borderId="1" xfId="3" applyNumberFormat="1" applyFont="1" applyFill="1" applyBorder="1" applyAlignment="1">
      <alignment horizontal="center" vertical="center" wrapText="1"/>
    </xf>
    <xf numFmtId="3" fontId="5" fillId="3" borderId="1" xfId="3" applyNumberFormat="1" applyFont="1" applyFill="1" applyBorder="1" applyAlignment="1">
      <alignment vertical="center" wrapText="1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5" fillId="0" borderId="1" xfId="3" applyFont="1" applyBorder="1" applyAlignment="1">
      <alignment horizontal="left" vertical="center" wrapText="1" indent="1"/>
    </xf>
    <xf numFmtId="0" fontId="7" fillId="4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3" fontId="5" fillId="3" borderId="1" xfId="4" applyNumberFormat="1" applyFont="1" applyFill="1" applyBorder="1" applyAlignment="1">
      <alignment horizontal="right" vertical="center"/>
    </xf>
    <xf numFmtId="3" fontId="5" fillId="0" borderId="1" xfId="3" applyNumberFormat="1" applyFont="1" applyBorder="1" applyAlignment="1">
      <alignment horizontal="right" vertical="center"/>
    </xf>
    <xf numFmtId="168" fontId="5" fillId="0" borderId="0" xfId="1" applyNumberFormat="1" applyFont="1" applyAlignment="1">
      <alignment horizontal="center" vertical="center"/>
    </xf>
    <xf numFmtId="168" fontId="5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0" fontId="5" fillId="7" borderId="0" xfId="3" applyFont="1" applyFill="1" applyAlignment="1">
      <alignment horizontal="center" vertical="center" wrapText="1"/>
    </xf>
    <xf numFmtId="169" fontId="1" fillId="0" borderId="0" xfId="0" applyNumberFormat="1" applyFont="1"/>
    <xf numFmtId="0" fontId="1" fillId="5" borderId="0" xfId="0" applyFont="1" applyFill="1"/>
    <xf numFmtId="0" fontId="5" fillId="3" borderId="0" xfId="3" applyFont="1" applyFill="1" applyAlignment="1">
      <alignment horizontal="center" vertical="center" wrapText="1"/>
    </xf>
    <xf numFmtId="169" fontId="1" fillId="5" borderId="1" xfId="2" applyNumberFormat="1" applyFont="1" applyFill="1" applyBorder="1" applyAlignment="1">
      <alignment horizontal="center"/>
    </xf>
  </cellXfs>
  <cellStyles count="6">
    <cellStyle name="Comma 3" xfId="5" xr:uid="{74F9300E-5B10-4CF0-9367-967B6AF8233C}"/>
    <cellStyle name="Millares" xfId="1" builtinId="3"/>
    <cellStyle name="Millares 39" xfId="4" xr:uid="{05116398-2275-4355-A5B0-39FD12834CB9}"/>
    <cellStyle name="Moneda" xfId="2" builtinId="4"/>
    <cellStyle name="Normal" xfId="0" builtinId="0"/>
    <cellStyle name="Normal 70" xfId="3" xr:uid="{4929F40A-824A-4CEA-82F0-8D94769FE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53</xdr:row>
      <xdr:rowOff>145204</xdr:rowOff>
    </xdr:from>
    <xdr:to>
      <xdr:col>9</xdr:col>
      <xdr:colOff>260712</xdr:colOff>
      <xdr:row>70</xdr:row>
      <xdr:rowOff>64849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86AB77-E7F9-5177-ED38-597555FF7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9565429"/>
          <a:ext cx="7250157" cy="2834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50C8-93FA-4D6A-9286-18F14FC4FA74}">
  <dimension ref="A1:EL39"/>
  <sheetViews>
    <sheetView tabSelected="1" view="pageBreakPreview" zoomScaleNormal="85" zoomScaleSheetLayoutView="100" workbookViewId="0">
      <selection activeCell="BF38" sqref="BF38"/>
    </sheetView>
  </sheetViews>
  <sheetFormatPr baseColWidth="10" defaultRowHeight="13.8"/>
  <cols>
    <col min="1" max="1" width="5.8984375" customWidth="1"/>
    <col min="2" max="2" width="48.59765625" customWidth="1"/>
    <col min="3" max="3" width="8" bestFit="1" customWidth="1"/>
    <col min="4" max="4" width="14" customWidth="1"/>
    <col min="5" max="6" width="15.8984375" customWidth="1"/>
    <col min="7" max="7" width="16.69921875" customWidth="1"/>
    <col min="8" max="8" width="14.8984375" customWidth="1"/>
    <col min="9" max="9" width="16.69921875" customWidth="1"/>
    <col min="10" max="11" width="15.09765625" customWidth="1"/>
    <col min="12" max="58" width="16.296875" customWidth="1"/>
    <col min="59" max="59" width="3.59765625" customWidth="1"/>
    <col min="60" max="60" width="22.3984375" customWidth="1"/>
  </cols>
  <sheetData>
    <row r="1" spans="1:60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116</v>
      </c>
      <c r="I1" s="3" t="s">
        <v>117</v>
      </c>
      <c r="J1" s="4" t="s">
        <v>63</v>
      </c>
      <c r="K1" s="4" t="s">
        <v>65</v>
      </c>
      <c r="L1" s="5" t="s">
        <v>66</v>
      </c>
      <c r="M1" s="4" t="s">
        <v>67</v>
      </c>
      <c r="N1" s="4" t="s">
        <v>68</v>
      </c>
      <c r="O1" s="4" t="s">
        <v>70</v>
      </c>
      <c r="P1" s="4" t="s">
        <v>71</v>
      </c>
      <c r="Q1" s="5" t="s">
        <v>72</v>
      </c>
      <c r="R1" s="4" t="s">
        <v>73</v>
      </c>
      <c r="S1" s="4" t="s">
        <v>74</v>
      </c>
      <c r="T1" s="4" t="s">
        <v>75</v>
      </c>
      <c r="U1" s="4" t="s">
        <v>76</v>
      </c>
      <c r="V1" s="4" t="s">
        <v>77</v>
      </c>
      <c r="W1" s="5" t="s">
        <v>78</v>
      </c>
      <c r="X1" s="4" t="s">
        <v>79</v>
      </c>
      <c r="Y1" s="4" t="s">
        <v>80</v>
      </c>
      <c r="Z1" s="4" t="s">
        <v>81</v>
      </c>
      <c r="AA1" s="4" t="s">
        <v>82</v>
      </c>
      <c r="AB1" s="4" t="s">
        <v>83</v>
      </c>
      <c r="AC1" s="4" t="s">
        <v>84</v>
      </c>
      <c r="AD1" s="4" t="s">
        <v>85</v>
      </c>
      <c r="AE1" s="4" t="s">
        <v>86</v>
      </c>
      <c r="AF1" s="4" t="s">
        <v>87</v>
      </c>
      <c r="AG1" s="4" t="s">
        <v>88</v>
      </c>
      <c r="AH1" s="4" t="s">
        <v>89</v>
      </c>
      <c r="AI1" s="5" t="s">
        <v>90</v>
      </c>
      <c r="AJ1" s="4" t="s">
        <v>91</v>
      </c>
      <c r="AK1" s="4" t="s">
        <v>92</v>
      </c>
      <c r="AL1" s="4" t="s">
        <v>93</v>
      </c>
      <c r="AM1" s="4" t="s">
        <v>94</v>
      </c>
      <c r="AN1" s="4" t="s">
        <v>95</v>
      </c>
      <c r="AO1" s="4" t="s">
        <v>96</v>
      </c>
      <c r="AP1" s="4" t="s">
        <v>97</v>
      </c>
      <c r="AQ1" s="4" t="s">
        <v>98</v>
      </c>
      <c r="AR1" s="5" t="s">
        <v>99</v>
      </c>
      <c r="AS1" s="4" t="s">
        <v>100</v>
      </c>
      <c r="AT1" s="4" t="s">
        <v>101</v>
      </c>
      <c r="AU1" s="4" t="s">
        <v>102</v>
      </c>
      <c r="AV1" s="4" t="s">
        <v>103</v>
      </c>
      <c r="AW1" s="4" t="s">
        <v>104</v>
      </c>
      <c r="AX1" s="4" t="s">
        <v>105</v>
      </c>
      <c r="AY1" s="4" t="s">
        <v>106</v>
      </c>
      <c r="AZ1" s="4" t="s">
        <v>107</v>
      </c>
      <c r="BA1" s="5" t="s">
        <v>108</v>
      </c>
      <c r="BB1" s="4" t="s">
        <v>109</v>
      </c>
      <c r="BC1" s="4" t="s">
        <v>110</v>
      </c>
      <c r="BD1" s="5" t="s">
        <v>111</v>
      </c>
      <c r="BE1" s="4" t="s">
        <v>112</v>
      </c>
      <c r="BF1" s="4" t="s">
        <v>113</v>
      </c>
      <c r="BG1" s="6"/>
      <c r="BH1" s="7" t="s">
        <v>69</v>
      </c>
    </row>
    <row r="2" spans="1:60">
      <c r="A2" s="8" t="s">
        <v>7</v>
      </c>
      <c r="B2" s="9" t="s">
        <v>8</v>
      </c>
      <c r="C2" s="10"/>
      <c r="D2" s="10"/>
      <c r="E2" s="11"/>
      <c r="F2" s="11"/>
      <c r="G2" s="11"/>
      <c r="H2" s="12"/>
      <c r="I2" s="12"/>
      <c r="J2" s="13" t="s">
        <v>64</v>
      </c>
      <c r="K2" s="13" t="s">
        <v>64</v>
      </c>
      <c r="L2" s="13" t="s">
        <v>64</v>
      </c>
      <c r="M2" s="13" t="s">
        <v>64</v>
      </c>
      <c r="N2" s="13" t="s">
        <v>64</v>
      </c>
      <c r="O2" s="13" t="s">
        <v>64</v>
      </c>
      <c r="P2" s="13" t="s">
        <v>64</v>
      </c>
      <c r="Q2" s="13" t="s">
        <v>64</v>
      </c>
      <c r="R2" s="13" t="s">
        <v>64</v>
      </c>
      <c r="S2" s="13" t="s">
        <v>64</v>
      </c>
      <c r="T2" s="13" t="s">
        <v>64</v>
      </c>
      <c r="U2" s="13" t="s">
        <v>64</v>
      </c>
      <c r="V2" s="13" t="s">
        <v>64</v>
      </c>
      <c r="W2" s="13" t="s">
        <v>64</v>
      </c>
      <c r="X2" s="13" t="s">
        <v>64</v>
      </c>
      <c r="Y2" s="13" t="s">
        <v>64</v>
      </c>
      <c r="Z2" s="13" t="s">
        <v>64</v>
      </c>
      <c r="AA2" s="13" t="s">
        <v>64</v>
      </c>
      <c r="AB2" s="13" t="s">
        <v>64</v>
      </c>
      <c r="AC2" s="13" t="s">
        <v>64</v>
      </c>
      <c r="AD2" s="13" t="s">
        <v>64</v>
      </c>
      <c r="AE2" s="13" t="s">
        <v>64</v>
      </c>
      <c r="AF2" s="13" t="s">
        <v>64</v>
      </c>
      <c r="AG2" s="13" t="s">
        <v>64</v>
      </c>
      <c r="AH2" s="13" t="s">
        <v>64</v>
      </c>
      <c r="AI2" s="13" t="s">
        <v>64</v>
      </c>
      <c r="AJ2" s="13" t="s">
        <v>64</v>
      </c>
      <c r="AK2" s="13" t="s">
        <v>64</v>
      </c>
      <c r="AL2" s="13" t="s">
        <v>64</v>
      </c>
      <c r="AM2" s="13" t="s">
        <v>64</v>
      </c>
      <c r="AN2" s="13" t="s">
        <v>64</v>
      </c>
      <c r="AO2" s="13" t="s">
        <v>64</v>
      </c>
      <c r="AP2" s="13" t="s">
        <v>64</v>
      </c>
      <c r="AQ2" s="13" t="s">
        <v>64</v>
      </c>
      <c r="AR2" s="13" t="s">
        <v>64</v>
      </c>
      <c r="AS2" s="13" t="s">
        <v>64</v>
      </c>
      <c r="AT2" s="13" t="s">
        <v>64</v>
      </c>
      <c r="AU2" s="13" t="s">
        <v>64</v>
      </c>
      <c r="AV2" s="13" t="s">
        <v>64</v>
      </c>
      <c r="AW2" s="13" t="s">
        <v>64</v>
      </c>
      <c r="AX2" s="13" t="s">
        <v>64</v>
      </c>
      <c r="AY2" s="13" t="s">
        <v>64</v>
      </c>
      <c r="AZ2" s="13" t="s">
        <v>64</v>
      </c>
      <c r="BA2" s="13" t="s">
        <v>64</v>
      </c>
      <c r="BB2" s="13" t="s">
        <v>64</v>
      </c>
      <c r="BC2" s="13" t="s">
        <v>64</v>
      </c>
      <c r="BD2" s="13" t="s">
        <v>64</v>
      </c>
      <c r="BE2" s="13" t="s">
        <v>64</v>
      </c>
      <c r="BF2" s="13" t="s">
        <v>64</v>
      </c>
      <c r="BG2" s="13"/>
      <c r="BH2" s="13"/>
    </row>
    <row r="3" spans="1:60">
      <c r="A3" s="14" t="s">
        <v>9</v>
      </c>
      <c r="B3" s="15" t="s">
        <v>10</v>
      </c>
      <c r="C3" s="16" t="s">
        <v>11</v>
      </c>
      <c r="D3" s="17">
        <v>57020</v>
      </c>
      <c r="E3" s="18">
        <v>30379</v>
      </c>
      <c r="F3" s="18"/>
      <c r="G3" s="18">
        <f>+(F3+D3)*E3</f>
        <v>1732210580</v>
      </c>
      <c r="H3" s="17">
        <v>62738.298744483691</v>
      </c>
      <c r="I3" s="19">
        <f>+H3*E3</f>
        <v>1905926777.55867</v>
      </c>
      <c r="J3" s="13">
        <v>150</v>
      </c>
      <c r="K3" s="13">
        <v>155</v>
      </c>
      <c r="L3" s="13">
        <v>1073</v>
      </c>
      <c r="M3" s="13">
        <v>9849</v>
      </c>
      <c r="N3" s="13">
        <v>250</v>
      </c>
      <c r="O3" s="13">
        <v>20</v>
      </c>
      <c r="P3" s="13">
        <v>70</v>
      </c>
      <c r="Q3" s="13">
        <v>12421</v>
      </c>
      <c r="R3" s="13">
        <v>2120</v>
      </c>
      <c r="S3" s="13">
        <v>90</v>
      </c>
      <c r="T3" s="13">
        <v>300</v>
      </c>
      <c r="U3" s="13">
        <v>50</v>
      </c>
      <c r="V3" s="13">
        <v>30</v>
      </c>
      <c r="W3" s="13">
        <v>676</v>
      </c>
      <c r="X3" s="13">
        <v>0</v>
      </c>
      <c r="Y3" s="13">
        <v>40</v>
      </c>
      <c r="Z3" s="13">
        <v>220</v>
      </c>
      <c r="AA3" s="13">
        <v>90</v>
      </c>
      <c r="AB3" s="13">
        <v>75</v>
      </c>
      <c r="AC3" s="13">
        <v>80</v>
      </c>
      <c r="AD3" s="13">
        <v>100</v>
      </c>
      <c r="AE3" s="13">
        <v>150</v>
      </c>
      <c r="AF3" s="13">
        <v>130</v>
      </c>
      <c r="AG3" s="13">
        <v>40</v>
      </c>
      <c r="AH3" s="13">
        <v>545</v>
      </c>
      <c r="AI3" s="13">
        <v>320</v>
      </c>
      <c r="AJ3" s="13">
        <v>140</v>
      </c>
      <c r="AK3" s="13">
        <v>4168</v>
      </c>
      <c r="AL3" s="13">
        <v>80</v>
      </c>
      <c r="AM3" s="13">
        <v>40</v>
      </c>
      <c r="AN3" s="13">
        <v>30</v>
      </c>
      <c r="AO3" s="13">
        <v>255</v>
      </c>
      <c r="AP3" s="13">
        <v>70</v>
      </c>
      <c r="AQ3" s="13">
        <v>40</v>
      </c>
      <c r="AR3" s="13">
        <v>100</v>
      </c>
      <c r="AS3" s="13">
        <v>4656</v>
      </c>
      <c r="AT3" s="13">
        <v>100</v>
      </c>
      <c r="AU3" s="13">
        <v>360</v>
      </c>
      <c r="AV3" s="13">
        <v>20</v>
      </c>
      <c r="AW3" s="13">
        <v>80</v>
      </c>
      <c r="AX3" s="13">
        <v>190</v>
      </c>
      <c r="AY3" s="13">
        <v>30</v>
      </c>
      <c r="AZ3" s="13">
        <v>280</v>
      </c>
      <c r="BA3" s="13">
        <v>668</v>
      </c>
      <c r="BB3" s="13">
        <v>60</v>
      </c>
      <c r="BC3" s="13">
        <v>70</v>
      </c>
      <c r="BD3" s="13">
        <v>2618</v>
      </c>
      <c r="BE3" s="13">
        <v>120</v>
      </c>
      <c r="BF3" s="13">
        <v>60</v>
      </c>
      <c r="BG3" s="13"/>
      <c r="BH3" s="13">
        <f>SUM(J3:BG3)</f>
        <v>43279</v>
      </c>
    </row>
    <row r="4" spans="1:60">
      <c r="A4" s="14" t="s">
        <v>12</v>
      </c>
      <c r="B4" s="15" t="s">
        <v>13</v>
      </c>
      <c r="C4" s="16" t="s">
        <v>11</v>
      </c>
      <c r="D4" s="17">
        <v>1283</v>
      </c>
      <c r="E4" s="18">
        <v>22998</v>
      </c>
      <c r="F4" s="18"/>
      <c r="G4" s="18">
        <f>+(F4+D4)*E4</f>
        <v>29506434</v>
      </c>
      <c r="H4" s="17">
        <v>1101.4454801317854</v>
      </c>
      <c r="I4" s="19">
        <f>+H4*E4</f>
        <v>25331043.152070802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/>
      <c r="P4" s="13"/>
      <c r="Q4" s="13">
        <v>0</v>
      </c>
      <c r="R4" s="13">
        <v>0</v>
      </c>
      <c r="S4" s="13"/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/>
      <c r="BH4" s="13">
        <f>SUM(J4:BG4)</f>
        <v>0</v>
      </c>
    </row>
    <row r="5" spans="1:60">
      <c r="A5" s="14" t="s">
        <v>14</v>
      </c>
      <c r="B5" s="15" t="s">
        <v>15</v>
      </c>
      <c r="C5" s="16" t="s">
        <v>11</v>
      </c>
      <c r="D5" s="17">
        <v>53464</v>
      </c>
      <c r="E5" s="18">
        <v>14773</v>
      </c>
      <c r="F5" s="18"/>
      <c r="G5" s="18">
        <f>+(F5+D5)*E5</f>
        <v>789823672</v>
      </c>
      <c r="H5" s="17">
        <v>60014</v>
      </c>
      <c r="I5" s="19">
        <f>+H5*E5</f>
        <v>886586822</v>
      </c>
      <c r="J5" s="13">
        <v>160</v>
      </c>
      <c r="K5" s="13">
        <v>240</v>
      </c>
      <c r="L5" s="13">
        <v>1832</v>
      </c>
      <c r="M5" s="13">
        <v>9446</v>
      </c>
      <c r="N5" s="13">
        <v>0</v>
      </c>
      <c r="O5" s="13">
        <v>20</v>
      </c>
      <c r="P5" s="13">
        <v>100</v>
      </c>
      <c r="Q5" s="13">
        <v>9155</v>
      </c>
      <c r="R5" s="13">
        <v>2280</v>
      </c>
      <c r="S5" s="13">
        <v>80</v>
      </c>
      <c r="T5" s="13">
        <v>60</v>
      </c>
      <c r="U5" s="13">
        <v>40</v>
      </c>
      <c r="V5" s="13">
        <v>20</v>
      </c>
      <c r="W5" s="13">
        <v>880</v>
      </c>
      <c r="X5" s="13">
        <v>0</v>
      </c>
      <c r="Y5" s="13">
        <v>30</v>
      </c>
      <c r="Z5" s="13">
        <v>340</v>
      </c>
      <c r="AA5" s="13">
        <v>140</v>
      </c>
      <c r="AB5" s="13">
        <v>50</v>
      </c>
      <c r="AC5" s="13">
        <v>120</v>
      </c>
      <c r="AD5" s="13">
        <v>160</v>
      </c>
      <c r="AE5" s="13">
        <v>240</v>
      </c>
      <c r="AF5" s="13">
        <v>200</v>
      </c>
      <c r="AG5" s="13">
        <v>40</v>
      </c>
      <c r="AH5" s="13">
        <v>920</v>
      </c>
      <c r="AI5" s="13">
        <v>0</v>
      </c>
      <c r="AJ5" s="13">
        <v>180</v>
      </c>
      <c r="AK5" s="13">
        <v>3165</v>
      </c>
      <c r="AL5" s="13">
        <v>100</v>
      </c>
      <c r="AM5" s="13">
        <v>40</v>
      </c>
      <c r="AN5" s="13">
        <v>20</v>
      </c>
      <c r="AO5" s="13">
        <v>460</v>
      </c>
      <c r="AP5" s="13">
        <v>60</v>
      </c>
      <c r="AQ5" s="13">
        <v>40</v>
      </c>
      <c r="AR5" s="13">
        <v>160</v>
      </c>
      <c r="AS5" s="13">
        <v>2412</v>
      </c>
      <c r="AT5" s="13">
        <v>160</v>
      </c>
      <c r="AU5" s="13">
        <v>560</v>
      </c>
      <c r="AV5" s="13">
        <v>20</v>
      </c>
      <c r="AW5" s="13">
        <v>100</v>
      </c>
      <c r="AX5" s="13">
        <v>240</v>
      </c>
      <c r="AY5" s="13">
        <v>40</v>
      </c>
      <c r="AZ5" s="13">
        <v>220</v>
      </c>
      <c r="BA5" s="13">
        <v>628</v>
      </c>
      <c r="BB5" s="13">
        <v>20</v>
      </c>
      <c r="BC5" s="13">
        <v>140</v>
      </c>
      <c r="BD5" s="13">
        <v>2188</v>
      </c>
      <c r="BE5" s="13">
        <v>240</v>
      </c>
      <c r="BF5" s="13">
        <v>100</v>
      </c>
      <c r="BG5" s="13"/>
      <c r="BH5" s="13">
        <f>SUM(J5:BG5)</f>
        <v>37846</v>
      </c>
    </row>
    <row r="6" spans="1:60">
      <c r="A6" s="20" t="s">
        <v>16</v>
      </c>
      <c r="B6" s="9" t="s">
        <v>17</v>
      </c>
      <c r="C6" s="10"/>
      <c r="D6" s="10"/>
      <c r="E6" s="11"/>
      <c r="F6" s="11"/>
      <c r="G6" s="11"/>
      <c r="H6" s="17">
        <v>0</v>
      </c>
      <c r="I6" s="19">
        <f>+H6*E6</f>
        <v>0</v>
      </c>
      <c r="J6" s="13"/>
      <c r="K6" s="13"/>
      <c r="L6" s="13">
        <v>0</v>
      </c>
      <c r="M6" s="13">
        <v>0</v>
      </c>
      <c r="N6" s="13">
        <v>0</v>
      </c>
      <c r="O6" s="13"/>
      <c r="P6" s="13"/>
      <c r="Q6" s="13"/>
      <c r="R6" s="13">
        <v>0</v>
      </c>
      <c r="S6" s="13"/>
      <c r="T6" s="13">
        <v>0</v>
      </c>
      <c r="U6" s="13">
        <v>0</v>
      </c>
      <c r="V6" s="13"/>
      <c r="W6" s="13">
        <v>0</v>
      </c>
      <c r="X6" s="13"/>
      <c r="Y6" s="13">
        <v>0</v>
      </c>
      <c r="Z6" s="13"/>
      <c r="AA6" s="13"/>
      <c r="AB6" s="13"/>
      <c r="AC6" s="13"/>
      <c r="AD6" s="13"/>
      <c r="AE6" s="13"/>
      <c r="AF6" s="13"/>
      <c r="AG6" s="13">
        <v>0</v>
      </c>
      <c r="AH6" s="13">
        <v>0</v>
      </c>
      <c r="AI6" s="13"/>
      <c r="AJ6" s="13"/>
      <c r="AK6" s="13">
        <v>0</v>
      </c>
      <c r="AL6" s="13"/>
      <c r="AM6" s="13"/>
      <c r="AN6" s="13"/>
      <c r="AO6" s="13">
        <v>0</v>
      </c>
      <c r="AP6" s="13"/>
      <c r="AQ6" s="13"/>
      <c r="AR6" s="13"/>
      <c r="AS6" s="13">
        <v>0</v>
      </c>
      <c r="AT6" s="13"/>
      <c r="AU6" s="13"/>
      <c r="AV6" s="13"/>
      <c r="AW6" s="13"/>
      <c r="AX6" s="13"/>
      <c r="AY6" s="13"/>
      <c r="AZ6" s="13">
        <v>0</v>
      </c>
      <c r="BA6" s="13">
        <v>0</v>
      </c>
      <c r="BB6" s="13"/>
      <c r="BC6" s="13">
        <v>0</v>
      </c>
      <c r="BD6" s="13">
        <v>0</v>
      </c>
      <c r="BE6" s="13">
        <v>0</v>
      </c>
      <c r="BF6" s="13"/>
      <c r="BG6" s="13"/>
      <c r="BH6" s="13">
        <f>SUM(J6:BG6)</f>
        <v>0</v>
      </c>
    </row>
    <row r="7" spans="1:60">
      <c r="A7" s="14" t="s">
        <v>18</v>
      </c>
      <c r="B7" s="15" t="s">
        <v>19</v>
      </c>
      <c r="C7" s="16" t="s">
        <v>20</v>
      </c>
      <c r="D7" s="21">
        <v>10</v>
      </c>
      <c r="E7" s="18">
        <v>783594</v>
      </c>
      <c r="F7" s="18"/>
      <c r="G7" s="18">
        <f>+(F7+D7)*E7</f>
        <v>7835940</v>
      </c>
      <c r="H7" s="17">
        <v>23</v>
      </c>
      <c r="I7" s="19">
        <f>+H7*E7</f>
        <v>18022662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/>
      <c r="P7" s="13"/>
      <c r="Q7" s="13"/>
      <c r="R7" s="13">
        <v>0</v>
      </c>
      <c r="S7" s="13"/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/>
      <c r="BH7" s="13">
        <f>SUM(J7:BG7)</f>
        <v>0</v>
      </c>
    </row>
    <row r="8" spans="1:60">
      <c r="A8" s="14" t="s">
        <v>21</v>
      </c>
      <c r="B8" s="15" t="s">
        <v>22</v>
      </c>
      <c r="C8" s="16" t="s">
        <v>20</v>
      </c>
      <c r="D8" s="21">
        <v>115</v>
      </c>
      <c r="E8" s="18">
        <v>844721</v>
      </c>
      <c r="F8" s="18"/>
      <c r="G8" s="18">
        <f>+(F8+D8)*E8</f>
        <v>97142915</v>
      </c>
      <c r="H8" s="17">
        <v>115</v>
      </c>
      <c r="I8" s="19">
        <f>+H8*E8</f>
        <v>97142915</v>
      </c>
      <c r="J8" s="13">
        <v>0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/>
      <c r="Q8" s="13"/>
      <c r="R8" s="13">
        <v>16</v>
      </c>
      <c r="S8" s="13"/>
      <c r="T8" s="13">
        <v>0</v>
      </c>
      <c r="U8" s="13">
        <v>0</v>
      </c>
      <c r="V8" s="13">
        <v>0</v>
      </c>
      <c r="W8" s="13">
        <v>0</v>
      </c>
      <c r="X8" s="13">
        <v>1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2</v>
      </c>
      <c r="AH8" s="13">
        <v>9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/>
      <c r="BH8" s="13">
        <f>SUM(J8:BG8)</f>
        <v>33</v>
      </c>
    </row>
    <row r="9" spans="1:60">
      <c r="A9" s="20" t="s">
        <v>23</v>
      </c>
      <c r="B9" s="9" t="s">
        <v>24</v>
      </c>
      <c r="C9" s="10"/>
      <c r="D9" s="10"/>
      <c r="E9" s="11"/>
      <c r="F9" s="11"/>
      <c r="G9" s="11"/>
      <c r="H9" s="17">
        <v>0</v>
      </c>
      <c r="I9" s="19">
        <f>+H9*E9</f>
        <v>0</v>
      </c>
      <c r="J9" s="13"/>
      <c r="K9" s="13"/>
      <c r="L9" s="13">
        <v>0</v>
      </c>
      <c r="M9" s="13">
        <v>0</v>
      </c>
      <c r="N9" s="13">
        <v>0</v>
      </c>
      <c r="O9" s="13"/>
      <c r="P9" s="13"/>
      <c r="Q9" s="13"/>
      <c r="R9" s="13">
        <v>0</v>
      </c>
      <c r="S9" s="13"/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/>
      <c r="AQ9" s="13"/>
      <c r="AR9" s="13"/>
      <c r="AS9" s="13">
        <v>0</v>
      </c>
      <c r="AT9" s="13"/>
      <c r="AU9" s="13"/>
      <c r="AV9" s="13"/>
      <c r="AW9" s="13"/>
      <c r="AX9" s="13"/>
      <c r="AY9" s="13"/>
      <c r="AZ9" s="13">
        <v>0</v>
      </c>
      <c r="BA9" s="13">
        <v>0</v>
      </c>
      <c r="BB9" s="13"/>
      <c r="BC9" s="13">
        <v>0</v>
      </c>
      <c r="BD9" s="13">
        <v>0</v>
      </c>
      <c r="BE9" s="13">
        <v>0</v>
      </c>
      <c r="BF9" s="13"/>
      <c r="BG9" s="13"/>
      <c r="BH9" s="13">
        <f>SUM(J9:BG9)</f>
        <v>0</v>
      </c>
    </row>
    <row r="10" spans="1:60">
      <c r="A10" s="14" t="s">
        <v>25</v>
      </c>
      <c r="B10" s="15" t="s">
        <v>26</v>
      </c>
      <c r="C10" s="16" t="s">
        <v>20</v>
      </c>
      <c r="D10" s="21">
        <v>2498</v>
      </c>
      <c r="E10" s="18">
        <v>17374</v>
      </c>
      <c r="F10" s="18"/>
      <c r="G10" s="18">
        <f>+(F10+D10)*E10</f>
        <v>43400252</v>
      </c>
      <c r="H10" s="17">
        <v>2713</v>
      </c>
      <c r="I10" s="19">
        <f>+H10*E10</f>
        <v>47135662</v>
      </c>
      <c r="J10" s="13">
        <v>0</v>
      </c>
      <c r="K10" s="13">
        <v>12</v>
      </c>
      <c r="L10" s="13">
        <v>117</v>
      </c>
      <c r="M10" s="13">
        <v>555</v>
      </c>
      <c r="N10" s="13">
        <v>0</v>
      </c>
      <c r="O10" s="13"/>
      <c r="P10" s="13"/>
      <c r="Q10" s="13">
        <v>601</v>
      </c>
      <c r="R10" s="13">
        <v>77</v>
      </c>
      <c r="S10" s="13"/>
      <c r="T10" s="13">
        <v>0</v>
      </c>
      <c r="U10" s="13">
        <v>1</v>
      </c>
      <c r="V10" s="13">
        <v>0</v>
      </c>
      <c r="W10" s="13">
        <v>44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2</v>
      </c>
      <c r="AH10" s="13">
        <v>46</v>
      </c>
      <c r="AI10" s="13">
        <v>0</v>
      </c>
      <c r="AJ10" s="13">
        <v>0</v>
      </c>
      <c r="AK10" s="13">
        <v>42</v>
      </c>
      <c r="AL10" s="13">
        <v>4</v>
      </c>
      <c r="AM10" s="13">
        <v>2</v>
      </c>
      <c r="AN10" s="13">
        <v>1</v>
      </c>
      <c r="AO10" s="13">
        <v>25</v>
      </c>
      <c r="AP10" s="13">
        <v>3</v>
      </c>
      <c r="AQ10" s="13">
        <v>0</v>
      </c>
      <c r="AR10" s="13">
        <v>0</v>
      </c>
      <c r="AS10" s="13">
        <v>17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36</v>
      </c>
      <c r="BB10" s="13">
        <v>0</v>
      </c>
      <c r="BC10" s="13">
        <v>0</v>
      </c>
      <c r="BD10" s="13">
        <v>110</v>
      </c>
      <c r="BE10" s="13">
        <v>12</v>
      </c>
      <c r="BF10" s="13">
        <v>5</v>
      </c>
      <c r="BG10" s="13"/>
      <c r="BH10" s="13">
        <f>SUM(J10:BG10)</f>
        <v>1712</v>
      </c>
    </row>
    <row r="11" spans="1:60">
      <c r="A11" s="14" t="s">
        <v>27</v>
      </c>
      <c r="B11" s="15" t="s">
        <v>28</v>
      </c>
      <c r="C11" s="16" t="s">
        <v>20</v>
      </c>
      <c r="D11" s="21">
        <v>3195</v>
      </c>
      <c r="E11" s="18">
        <v>12826</v>
      </c>
      <c r="F11" s="18"/>
      <c r="G11" s="18">
        <f>+(F11+D11)*E11</f>
        <v>40979070</v>
      </c>
      <c r="H11" s="17">
        <v>3315</v>
      </c>
      <c r="I11" s="19">
        <f>+H11*E11</f>
        <v>42518190</v>
      </c>
      <c r="J11" s="13">
        <v>8</v>
      </c>
      <c r="K11" s="13">
        <v>12</v>
      </c>
      <c r="L11" s="13">
        <v>117</v>
      </c>
      <c r="M11" s="13">
        <v>555</v>
      </c>
      <c r="N11" s="13">
        <v>0</v>
      </c>
      <c r="O11" s="13">
        <v>1</v>
      </c>
      <c r="P11" s="13">
        <v>5</v>
      </c>
      <c r="Q11" s="13">
        <v>555</v>
      </c>
      <c r="R11" s="13">
        <v>67</v>
      </c>
      <c r="S11" s="13">
        <v>4</v>
      </c>
      <c r="T11" s="13">
        <v>3</v>
      </c>
      <c r="U11" s="13">
        <v>2</v>
      </c>
      <c r="V11" s="13">
        <v>1</v>
      </c>
      <c r="W11" s="13">
        <v>0</v>
      </c>
      <c r="X11" s="13">
        <v>0</v>
      </c>
      <c r="Y11" s="13">
        <v>0</v>
      </c>
      <c r="Z11" s="13">
        <v>10</v>
      </c>
      <c r="AA11" s="13">
        <v>5</v>
      </c>
      <c r="AB11" s="13">
        <v>0</v>
      </c>
      <c r="AC11" s="13">
        <v>4</v>
      </c>
      <c r="AD11" s="13">
        <v>5</v>
      </c>
      <c r="AE11" s="13">
        <v>7</v>
      </c>
      <c r="AF11" s="13">
        <v>6</v>
      </c>
      <c r="AG11" s="13">
        <v>2</v>
      </c>
      <c r="AH11" s="13">
        <v>46</v>
      </c>
      <c r="AI11" s="13">
        <v>0</v>
      </c>
      <c r="AJ11" s="13">
        <v>4</v>
      </c>
      <c r="AK11" s="13">
        <v>20</v>
      </c>
      <c r="AL11" s="13">
        <v>4</v>
      </c>
      <c r="AM11" s="13">
        <v>0</v>
      </c>
      <c r="AN11" s="13">
        <v>0</v>
      </c>
      <c r="AO11" s="13">
        <v>24</v>
      </c>
      <c r="AP11" s="13">
        <v>3</v>
      </c>
      <c r="AQ11" s="13">
        <v>2</v>
      </c>
      <c r="AR11" s="13">
        <v>4</v>
      </c>
      <c r="AS11" s="13">
        <v>207</v>
      </c>
      <c r="AT11" s="13">
        <v>4</v>
      </c>
      <c r="AU11" s="13">
        <v>9</v>
      </c>
      <c r="AV11" s="13">
        <v>1</v>
      </c>
      <c r="AW11" s="13">
        <v>2</v>
      </c>
      <c r="AX11" s="13">
        <v>3</v>
      </c>
      <c r="AY11" s="13">
        <v>2</v>
      </c>
      <c r="AZ11" s="13">
        <v>12</v>
      </c>
      <c r="BA11" s="13">
        <v>32</v>
      </c>
      <c r="BB11" s="13">
        <v>1</v>
      </c>
      <c r="BC11" s="13">
        <v>5</v>
      </c>
      <c r="BD11" s="13">
        <v>134</v>
      </c>
      <c r="BE11" s="13">
        <v>12</v>
      </c>
      <c r="BF11" s="13">
        <v>0</v>
      </c>
      <c r="BG11" s="13"/>
      <c r="BH11" s="13">
        <f>SUM(J11:BG11)</f>
        <v>1900</v>
      </c>
    </row>
    <row r="12" spans="1:60">
      <c r="A12" s="14" t="s">
        <v>29</v>
      </c>
      <c r="B12" s="15" t="s">
        <v>30</v>
      </c>
      <c r="C12" s="16" t="s">
        <v>20</v>
      </c>
      <c r="D12" s="21">
        <v>2359</v>
      </c>
      <c r="E12" s="18">
        <v>2664</v>
      </c>
      <c r="F12" s="18"/>
      <c r="G12" s="18">
        <f>+(F12+D12)*E12</f>
        <v>6284376</v>
      </c>
      <c r="H12" s="17">
        <v>2419</v>
      </c>
      <c r="I12" s="19">
        <f>+H12*E12</f>
        <v>6444216</v>
      </c>
      <c r="J12" s="13">
        <v>8</v>
      </c>
      <c r="K12" s="13">
        <v>6</v>
      </c>
      <c r="L12" s="13">
        <v>0</v>
      </c>
      <c r="M12" s="13">
        <v>373</v>
      </c>
      <c r="N12" s="13">
        <v>0</v>
      </c>
      <c r="O12" s="13">
        <v>1</v>
      </c>
      <c r="P12" s="13">
        <v>5</v>
      </c>
      <c r="Q12" s="13">
        <v>541</v>
      </c>
      <c r="R12" s="13">
        <v>5</v>
      </c>
      <c r="S12" s="13">
        <v>4</v>
      </c>
      <c r="T12" s="13">
        <v>3</v>
      </c>
      <c r="U12" s="13">
        <v>1</v>
      </c>
      <c r="V12" s="13">
        <v>1</v>
      </c>
      <c r="W12" s="13">
        <v>0</v>
      </c>
      <c r="X12" s="13">
        <v>0</v>
      </c>
      <c r="Y12" s="13">
        <v>0</v>
      </c>
      <c r="Z12" s="13">
        <v>5</v>
      </c>
      <c r="AA12" s="13">
        <v>3</v>
      </c>
      <c r="AB12" s="13">
        <v>0</v>
      </c>
      <c r="AC12" s="13">
        <v>3</v>
      </c>
      <c r="AD12" s="13">
        <v>4</v>
      </c>
      <c r="AE12" s="13">
        <v>5</v>
      </c>
      <c r="AF12" s="13">
        <v>4</v>
      </c>
      <c r="AG12" s="13">
        <v>0</v>
      </c>
      <c r="AH12" s="13">
        <v>46</v>
      </c>
      <c r="AI12" s="13">
        <v>0</v>
      </c>
      <c r="AJ12" s="13">
        <v>4</v>
      </c>
      <c r="AK12" s="13">
        <v>0</v>
      </c>
      <c r="AL12" s="13">
        <v>4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4</v>
      </c>
      <c r="AS12" s="13">
        <v>0</v>
      </c>
      <c r="AT12" s="13">
        <v>4</v>
      </c>
      <c r="AU12" s="13">
        <v>4</v>
      </c>
      <c r="AV12" s="13">
        <v>1</v>
      </c>
      <c r="AW12" s="13">
        <v>2</v>
      </c>
      <c r="AX12" s="13">
        <v>3</v>
      </c>
      <c r="AY12" s="13">
        <v>2</v>
      </c>
      <c r="AZ12" s="13">
        <v>4</v>
      </c>
      <c r="BA12" s="13">
        <v>32</v>
      </c>
      <c r="BB12" s="13">
        <v>1</v>
      </c>
      <c r="BC12" s="13">
        <v>2</v>
      </c>
      <c r="BD12" s="13">
        <v>96</v>
      </c>
      <c r="BE12" s="13">
        <v>12</v>
      </c>
      <c r="BF12" s="13">
        <v>0</v>
      </c>
      <c r="BG12" s="13"/>
      <c r="BH12" s="13">
        <f>SUM(J12:BG12)</f>
        <v>1193</v>
      </c>
    </row>
    <row r="13" spans="1:60">
      <c r="A13" s="14" t="s">
        <v>31</v>
      </c>
      <c r="B13" s="15" t="s">
        <v>32</v>
      </c>
      <c r="C13" s="16" t="s">
        <v>20</v>
      </c>
      <c r="D13" s="21">
        <v>85</v>
      </c>
      <c r="E13" s="18">
        <v>7661</v>
      </c>
      <c r="F13" s="18"/>
      <c r="G13" s="18">
        <f>+(F13+D13)*E13</f>
        <v>651185</v>
      </c>
      <c r="H13" s="17">
        <v>350</v>
      </c>
      <c r="I13" s="19">
        <f>+H13*E13</f>
        <v>2681350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/>
      <c r="P13" s="13"/>
      <c r="Q13" s="13"/>
      <c r="R13" s="13">
        <v>0</v>
      </c>
      <c r="S13" s="13"/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2</v>
      </c>
      <c r="AR13" s="13">
        <v>0</v>
      </c>
      <c r="AS13" s="13">
        <v>201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/>
      <c r="BH13" s="13">
        <f>SUM(J13:BG13)</f>
        <v>203</v>
      </c>
    </row>
    <row r="14" spans="1:60">
      <c r="A14" s="14" t="s">
        <v>33</v>
      </c>
      <c r="B14" s="15" t="s">
        <v>34</v>
      </c>
      <c r="C14" s="16" t="s">
        <v>20</v>
      </c>
      <c r="D14" s="21">
        <v>100</v>
      </c>
      <c r="E14" s="18">
        <v>248036</v>
      </c>
      <c r="F14" s="18"/>
      <c r="G14" s="18">
        <f>+(F14+D14)*E14</f>
        <v>24803600</v>
      </c>
      <c r="H14" s="17">
        <v>362</v>
      </c>
      <c r="I14" s="19">
        <f>+H14*E14</f>
        <v>89789032</v>
      </c>
      <c r="J14" s="13">
        <v>8</v>
      </c>
      <c r="K14" s="13">
        <v>0</v>
      </c>
      <c r="L14" s="13">
        <v>0</v>
      </c>
      <c r="M14" s="13">
        <v>32</v>
      </c>
      <c r="N14" s="13">
        <v>0</v>
      </c>
      <c r="O14" s="13"/>
      <c r="P14" s="13">
        <v>5</v>
      </c>
      <c r="Q14" s="13"/>
      <c r="R14" s="13">
        <v>0</v>
      </c>
      <c r="S14" s="13">
        <v>4</v>
      </c>
      <c r="T14" s="13">
        <v>3</v>
      </c>
      <c r="U14" s="13">
        <v>0</v>
      </c>
      <c r="V14" s="13">
        <v>1</v>
      </c>
      <c r="W14" s="13">
        <v>0</v>
      </c>
      <c r="X14" s="13">
        <v>0</v>
      </c>
      <c r="Y14" s="13">
        <v>0</v>
      </c>
      <c r="Z14" s="13">
        <v>17</v>
      </c>
      <c r="AA14" s="13">
        <v>7</v>
      </c>
      <c r="AB14" s="13">
        <v>0</v>
      </c>
      <c r="AC14" s="13">
        <v>6</v>
      </c>
      <c r="AD14" s="13">
        <v>8</v>
      </c>
      <c r="AE14" s="13">
        <v>12</v>
      </c>
      <c r="AF14" s="13">
        <v>10</v>
      </c>
      <c r="AG14" s="13">
        <v>0</v>
      </c>
      <c r="AH14" s="13">
        <v>0</v>
      </c>
      <c r="AI14" s="13">
        <v>0</v>
      </c>
      <c r="AJ14" s="13">
        <v>9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2</v>
      </c>
      <c r="AR14" s="13">
        <v>8</v>
      </c>
      <c r="AS14" s="13">
        <v>6</v>
      </c>
      <c r="AT14" s="13">
        <v>8</v>
      </c>
      <c r="AU14" s="13">
        <v>19</v>
      </c>
      <c r="AV14" s="13">
        <v>0</v>
      </c>
      <c r="AW14" s="13">
        <v>3</v>
      </c>
      <c r="AX14" s="13">
        <v>9</v>
      </c>
      <c r="AY14" s="13">
        <v>2</v>
      </c>
      <c r="AZ14" s="13">
        <v>6</v>
      </c>
      <c r="BA14" s="13">
        <v>0</v>
      </c>
      <c r="BB14" s="13">
        <v>1</v>
      </c>
      <c r="BC14" s="13">
        <v>2</v>
      </c>
      <c r="BD14" s="13">
        <v>0</v>
      </c>
      <c r="BE14" s="13">
        <v>0</v>
      </c>
      <c r="BF14" s="13">
        <v>0</v>
      </c>
      <c r="BG14" s="13"/>
      <c r="BH14" s="13">
        <f>SUM(J14:BG14)</f>
        <v>188</v>
      </c>
    </row>
    <row r="15" spans="1:60">
      <c r="A15" s="14" t="s">
        <v>35</v>
      </c>
      <c r="B15" s="15" t="s">
        <v>36</v>
      </c>
      <c r="C15" s="16" t="s">
        <v>20</v>
      </c>
      <c r="D15" s="21">
        <v>60</v>
      </c>
      <c r="E15" s="18">
        <v>127218</v>
      </c>
      <c r="F15" s="18"/>
      <c r="G15" s="18">
        <f>+(F15+D15)*E15</f>
        <v>7633080</v>
      </c>
      <c r="H15" s="17">
        <v>60</v>
      </c>
      <c r="I15" s="19">
        <f>+H15*E15</f>
        <v>7633080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/>
      <c r="P15" s="13"/>
      <c r="Q15" s="13"/>
      <c r="R15" s="13">
        <v>0</v>
      </c>
      <c r="S15" s="13"/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2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/>
      <c r="BH15" s="13">
        <f>SUM(J15:BG15)</f>
        <v>2</v>
      </c>
    </row>
    <row r="16" spans="1:60">
      <c r="A16" s="14" t="s">
        <v>37</v>
      </c>
      <c r="B16" s="15" t="s">
        <v>38</v>
      </c>
      <c r="C16" s="16" t="s">
        <v>20</v>
      </c>
      <c r="D16" s="21">
        <v>268</v>
      </c>
      <c r="E16" s="18">
        <v>61059</v>
      </c>
      <c r="F16" s="18"/>
      <c r="G16" s="18">
        <f>+(F16+D16)*E16</f>
        <v>16363812</v>
      </c>
      <c r="H16" s="17">
        <v>538</v>
      </c>
      <c r="I16" s="19">
        <f>+H16*E16</f>
        <v>32849742</v>
      </c>
      <c r="J16" s="13">
        <v>0</v>
      </c>
      <c r="K16" s="13">
        <v>0</v>
      </c>
      <c r="L16" s="13">
        <v>0</v>
      </c>
      <c r="M16" s="13">
        <v>84</v>
      </c>
      <c r="N16" s="13">
        <v>0</v>
      </c>
      <c r="O16" s="13"/>
      <c r="P16" s="13"/>
      <c r="Q16" s="13">
        <v>31</v>
      </c>
      <c r="R16" s="13">
        <v>72</v>
      </c>
      <c r="S16" s="13"/>
      <c r="T16" s="13">
        <v>0</v>
      </c>
      <c r="U16" s="13">
        <v>0</v>
      </c>
      <c r="V16" s="13">
        <v>0</v>
      </c>
      <c r="W16" s="13">
        <v>27</v>
      </c>
      <c r="X16" s="13">
        <v>0</v>
      </c>
      <c r="Y16" s="13">
        <v>0</v>
      </c>
      <c r="Z16" s="13">
        <v>0</v>
      </c>
      <c r="AA16" s="13">
        <v>0</v>
      </c>
      <c r="AB16" s="13">
        <v>2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64</v>
      </c>
      <c r="AL16" s="13">
        <v>5</v>
      </c>
      <c r="AM16" s="13">
        <v>2</v>
      </c>
      <c r="AN16" s="13">
        <v>1</v>
      </c>
      <c r="AO16" s="13">
        <v>0</v>
      </c>
      <c r="AP16" s="13">
        <v>2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10</v>
      </c>
      <c r="BB16" s="13">
        <v>0</v>
      </c>
      <c r="BC16" s="13">
        <v>0</v>
      </c>
      <c r="BD16" s="13">
        <v>0</v>
      </c>
      <c r="BE16" s="13">
        <v>0</v>
      </c>
      <c r="BF16" s="13">
        <v>1</v>
      </c>
      <c r="BG16" s="13"/>
      <c r="BH16" s="13">
        <f>SUM(J16:BG16)</f>
        <v>301</v>
      </c>
    </row>
    <row r="17" spans="1:60">
      <c r="A17" s="14" t="s">
        <v>39</v>
      </c>
      <c r="B17" s="15" t="s">
        <v>40</v>
      </c>
      <c r="C17" s="16" t="s">
        <v>20</v>
      </c>
      <c r="D17" s="21">
        <v>141</v>
      </c>
      <c r="E17" s="18">
        <v>42702</v>
      </c>
      <c r="F17" s="18"/>
      <c r="G17" s="18">
        <f>+(F17+D17)*E17</f>
        <v>6020982</v>
      </c>
      <c r="H17" s="17">
        <v>122.84454801317852</v>
      </c>
      <c r="I17" s="19">
        <f>+H17*E17</f>
        <v>5245707.8892587498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/>
      <c r="P17" s="13"/>
      <c r="Q17" s="13"/>
      <c r="R17" s="13">
        <v>0</v>
      </c>
      <c r="S17" s="13"/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/>
      <c r="BH17" s="13">
        <f>SUM(J17:BG17)</f>
        <v>0</v>
      </c>
    </row>
    <row r="18" spans="1:60">
      <c r="A18" s="20" t="s">
        <v>41</v>
      </c>
      <c r="B18" s="9" t="s">
        <v>42</v>
      </c>
      <c r="C18" s="10"/>
      <c r="D18" s="10"/>
      <c r="E18" s="11"/>
      <c r="F18" s="11"/>
      <c r="G18" s="11"/>
      <c r="H18" s="17">
        <v>0</v>
      </c>
      <c r="I18" s="19">
        <f>+H18*E18</f>
        <v>0</v>
      </c>
      <c r="J18" s="13"/>
      <c r="K18" s="13"/>
      <c r="L18" s="13">
        <v>0</v>
      </c>
      <c r="M18" s="13">
        <v>0</v>
      </c>
      <c r="N18" s="13">
        <v>0</v>
      </c>
      <c r="O18" s="13"/>
      <c r="P18" s="13"/>
      <c r="Q18" s="13"/>
      <c r="R18" s="13">
        <v>0</v>
      </c>
      <c r="S18" s="13"/>
      <c r="T18" s="13">
        <v>0</v>
      </c>
      <c r="U18" s="13">
        <v>0</v>
      </c>
      <c r="V18" s="13"/>
      <c r="W18" s="13">
        <v>0</v>
      </c>
      <c r="X18" s="13"/>
      <c r="Y18" s="13">
        <v>0</v>
      </c>
      <c r="Z18" s="13"/>
      <c r="AA18" s="13"/>
      <c r="AB18" s="13"/>
      <c r="AC18" s="13"/>
      <c r="AD18" s="13"/>
      <c r="AE18" s="13"/>
      <c r="AF18" s="13"/>
      <c r="AG18" s="13">
        <v>0</v>
      </c>
      <c r="AH18" s="13">
        <v>0</v>
      </c>
      <c r="AI18" s="13">
        <v>0</v>
      </c>
      <c r="AJ18" s="13"/>
      <c r="AK18" s="13">
        <v>0</v>
      </c>
      <c r="AL18" s="13"/>
      <c r="AM18" s="13"/>
      <c r="AN18" s="13"/>
      <c r="AO18" s="13">
        <v>0</v>
      </c>
      <c r="AP18" s="13"/>
      <c r="AQ18" s="13"/>
      <c r="AR18" s="13"/>
      <c r="AS18" s="13">
        <v>0</v>
      </c>
      <c r="AT18" s="13"/>
      <c r="AU18" s="13"/>
      <c r="AV18" s="13"/>
      <c r="AW18" s="13"/>
      <c r="AX18" s="13"/>
      <c r="AY18" s="13"/>
      <c r="AZ18" s="13">
        <v>0</v>
      </c>
      <c r="BA18" s="13">
        <v>0</v>
      </c>
      <c r="BB18" s="13"/>
      <c r="BC18" s="13">
        <v>0</v>
      </c>
      <c r="BD18" s="13">
        <v>0</v>
      </c>
      <c r="BE18" s="13">
        <v>0</v>
      </c>
      <c r="BF18" s="13"/>
      <c r="BG18" s="13"/>
      <c r="BH18" s="13">
        <f>SUM(J18:BG18)</f>
        <v>0</v>
      </c>
    </row>
    <row r="19" spans="1:60">
      <c r="A19" s="14" t="s">
        <v>43</v>
      </c>
      <c r="B19" s="15" t="s">
        <v>42</v>
      </c>
      <c r="C19" s="16" t="s">
        <v>44</v>
      </c>
      <c r="D19" s="18">
        <v>300000000</v>
      </c>
      <c r="E19" s="18">
        <v>1</v>
      </c>
      <c r="F19" s="18"/>
      <c r="G19" s="18">
        <f>+(F19+D19)*E19</f>
        <v>300000000</v>
      </c>
      <c r="H19" s="17">
        <v>550423007.39999998</v>
      </c>
      <c r="I19" s="19">
        <f>+H19</f>
        <v>550423007.39999998</v>
      </c>
      <c r="J19" s="13">
        <v>0</v>
      </c>
      <c r="K19" s="13">
        <v>0</v>
      </c>
      <c r="L19" s="13">
        <v>0</v>
      </c>
      <c r="M19" s="13">
        <v>0</v>
      </c>
      <c r="N19" s="22">
        <v>198413351</v>
      </c>
      <c r="O19" s="22"/>
      <c r="P19" s="22"/>
      <c r="Q19" s="22"/>
      <c r="R19" s="22"/>
      <c r="S19" s="22"/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23">
        <v>50191588.399999999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/>
      <c r="BH19" s="24">
        <f>SUM(J19:BG19)</f>
        <v>248604939.40000001</v>
      </c>
    </row>
    <row r="20" spans="1:60">
      <c r="A20" s="14" t="s">
        <v>45</v>
      </c>
      <c r="B20" s="15" t="s">
        <v>46</v>
      </c>
      <c r="C20" s="16" t="s">
        <v>44</v>
      </c>
      <c r="D20" s="16"/>
      <c r="E20" s="18">
        <v>430955.60000000003</v>
      </c>
      <c r="F20" s="18"/>
      <c r="G20" s="18">
        <f>+F20+D20</f>
        <v>0</v>
      </c>
      <c r="H20" s="17">
        <v>0</v>
      </c>
      <c r="I20" s="19">
        <f>+H20*E20</f>
        <v>0</v>
      </c>
      <c r="J20" s="13">
        <v>0</v>
      </c>
      <c r="K20" s="13">
        <v>0</v>
      </c>
      <c r="L20" s="13">
        <v>0</v>
      </c>
      <c r="M20" s="13">
        <v>0</v>
      </c>
      <c r="N20" s="22">
        <v>9891359</v>
      </c>
      <c r="O20" s="22"/>
      <c r="P20" s="22"/>
      <c r="Q20" s="22"/>
      <c r="R20" s="22"/>
      <c r="S20" s="22"/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23">
        <v>2509579.25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/>
      <c r="BH20" s="24">
        <f>SUM(J20:BG20)</f>
        <v>12400938.25</v>
      </c>
    </row>
    <row r="21" spans="1:60">
      <c r="A21" s="20" t="s">
        <v>47</v>
      </c>
      <c r="B21" s="9" t="s">
        <v>48</v>
      </c>
      <c r="C21" s="25"/>
      <c r="D21" s="25"/>
      <c r="E21" s="26"/>
      <c r="F21" s="26"/>
      <c r="G21" s="26"/>
      <c r="H21" s="17">
        <v>0</v>
      </c>
      <c r="I21" s="19">
        <f>+H21*E21</f>
        <v>0</v>
      </c>
      <c r="J21" s="13"/>
      <c r="K21" s="13"/>
      <c r="L21" s="13"/>
      <c r="M21" s="13"/>
      <c r="N21" s="22"/>
      <c r="O21" s="22"/>
      <c r="P21" s="22"/>
      <c r="Q21" s="22"/>
      <c r="R21" s="22"/>
      <c r="S21" s="22"/>
      <c r="T21" s="13">
        <v>0</v>
      </c>
      <c r="U21" s="13">
        <v>0</v>
      </c>
      <c r="V21" s="13"/>
      <c r="W21" s="13">
        <v>0</v>
      </c>
      <c r="X21" s="13"/>
      <c r="Y21" s="13">
        <v>0</v>
      </c>
      <c r="Z21" s="13"/>
      <c r="AA21" s="13"/>
      <c r="AB21" s="13"/>
      <c r="AC21" s="13"/>
      <c r="AD21" s="13"/>
      <c r="AE21" s="13"/>
      <c r="AF21" s="13"/>
      <c r="AG21" s="13">
        <v>0</v>
      </c>
      <c r="AH21" s="13">
        <v>0</v>
      </c>
      <c r="AI21" s="13"/>
      <c r="AJ21" s="13"/>
      <c r="AK21" s="13">
        <v>0</v>
      </c>
      <c r="AL21" s="13"/>
      <c r="AM21" s="13"/>
      <c r="AN21" s="13"/>
      <c r="AO21" s="13">
        <v>0</v>
      </c>
      <c r="AP21" s="13"/>
      <c r="AQ21" s="13"/>
      <c r="AR21" s="13"/>
      <c r="AS21" s="13">
        <v>0</v>
      </c>
      <c r="AT21" s="13"/>
      <c r="AU21" s="13"/>
      <c r="AV21" s="13"/>
      <c r="AW21" s="13"/>
      <c r="AX21" s="13"/>
      <c r="AY21" s="13"/>
      <c r="AZ21" s="13">
        <v>0</v>
      </c>
      <c r="BA21" s="13">
        <v>0</v>
      </c>
      <c r="BB21" s="13"/>
      <c r="BC21" s="13">
        <v>0</v>
      </c>
      <c r="BD21" s="13">
        <v>0</v>
      </c>
      <c r="BE21" s="13">
        <v>0</v>
      </c>
      <c r="BF21" s="13"/>
      <c r="BG21" s="13"/>
      <c r="BH21" s="13">
        <f>SUM(J21:BG21)</f>
        <v>0</v>
      </c>
    </row>
    <row r="22" spans="1:60">
      <c r="A22" s="14" t="s">
        <v>49</v>
      </c>
      <c r="B22" s="15" t="s">
        <v>50</v>
      </c>
      <c r="C22" s="16" t="s">
        <v>51</v>
      </c>
      <c r="D22" s="21">
        <v>140</v>
      </c>
      <c r="E22" s="18">
        <v>1778910</v>
      </c>
      <c r="F22" s="18"/>
      <c r="G22" s="18">
        <f>+(F22+D22)*E22</f>
        <v>249047400</v>
      </c>
      <c r="H22" s="17">
        <v>160</v>
      </c>
      <c r="I22" s="19">
        <f>+H22*E22</f>
        <v>284625600</v>
      </c>
      <c r="J22" s="27">
        <v>0.42999983135740427</v>
      </c>
      <c r="K22" s="13">
        <v>0.4</v>
      </c>
      <c r="L22" s="13">
        <v>4.0313000000000008</v>
      </c>
      <c r="M22" s="13">
        <v>25.27</v>
      </c>
      <c r="N22" s="13">
        <v>1</v>
      </c>
      <c r="O22" s="13">
        <v>0.06</v>
      </c>
      <c r="P22" s="13">
        <v>0.23</v>
      </c>
      <c r="Q22" s="13">
        <v>26.640000000000004</v>
      </c>
      <c r="R22" s="13">
        <v>5.8999999999999995</v>
      </c>
      <c r="S22" s="13">
        <v>0.3</v>
      </c>
      <c r="T22" s="13">
        <v>0.17</v>
      </c>
      <c r="U22" s="13">
        <v>0.13</v>
      </c>
      <c r="V22" s="13">
        <v>0.1</v>
      </c>
      <c r="W22" s="13">
        <v>1.7930000000000001</v>
      </c>
      <c r="X22" s="13">
        <v>0</v>
      </c>
      <c r="Y22" s="13">
        <v>7.0000000000000007E-2</v>
      </c>
      <c r="Z22" s="13">
        <v>0.56999999999999995</v>
      </c>
      <c r="AA22" s="13">
        <v>0.23</v>
      </c>
      <c r="AB22" s="13">
        <v>7.0000000000000007E-2</v>
      </c>
      <c r="AC22" s="13">
        <v>0.2</v>
      </c>
      <c r="AD22" s="13">
        <v>0.33</v>
      </c>
      <c r="AE22" s="13">
        <v>0.4</v>
      </c>
      <c r="AF22" s="13">
        <v>0.33</v>
      </c>
      <c r="AG22" s="13">
        <v>7.0000000000000007E-2</v>
      </c>
      <c r="AH22" s="13">
        <v>2.0300000000000002</v>
      </c>
      <c r="AI22" s="13">
        <v>1.4</v>
      </c>
      <c r="AJ22" s="13">
        <v>0.3</v>
      </c>
      <c r="AK22" s="13">
        <v>10.8</v>
      </c>
      <c r="AL22" s="13">
        <v>0.16</v>
      </c>
      <c r="AM22" s="13">
        <v>7.0000000000000007E-2</v>
      </c>
      <c r="AN22" s="13">
        <v>0.03</v>
      </c>
      <c r="AO22" s="13">
        <v>0.86699999999999999</v>
      </c>
      <c r="AP22" s="13">
        <v>0.1</v>
      </c>
      <c r="AQ22" s="13">
        <v>0.13</v>
      </c>
      <c r="AR22" s="13">
        <v>0.27</v>
      </c>
      <c r="AS22" s="13">
        <v>10.73</v>
      </c>
      <c r="AT22" s="13">
        <v>0.27</v>
      </c>
      <c r="AU22" s="13">
        <v>1</v>
      </c>
      <c r="AV22" s="13">
        <v>0.03</v>
      </c>
      <c r="AW22" s="13">
        <v>0.17</v>
      </c>
      <c r="AX22" s="13">
        <v>0.4</v>
      </c>
      <c r="AY22" s="13">
        <v>7.0000000000000007E-2</v>
      </c>
      <c r="AZ22" s="13">
        <v>0.503</v>
      </c>
      <c r="BA22" s="13">
        <v>1.5329999999999995</v>
      </c>
      <c r="BB22" s="13">
        <v>0.03</v>
      </c>
      <c r="BC22" s="13">
        <v>0.16700000000000001</v>
      </c>
      <c r="BD22" s="13">
        <v>7.3669999999999991</v>
      </c>
      <c r="BE22" s="13">
        <v>0.36500000000000005</v>
      </c>
      <c r="BF22" s="13">
        <v>0.17</v>
      </c>
      <c r="BG22" s="13"/>
      <c r="BH22" s="28">
        <f>SUM(J22:BG22)</f>
        <v>107.68629983135737</v>
      </c>
    </row>
    <row r="23" spans="1:60">
      <c r="A23" s="20" t="s">
        <v>52</v>
      </c>
      <c r="B23" s="9" t="s">
        <v>53</v>
      </c>
      <c r="C23" s="25"/>
      <c r="D23" s="25"/>
      <c r="E23" s="26"/>
      <c r="F23" s="26"/>
      <c r="G23" s="26"/>
      <c r="H23" s="17">
        <v>5000000</v>
      </c>
      <c r="I23" s="19">
        <f>+H23</f>
        <v>5000000</v>
      </c>
      <c r="J23" s="13"/>
      <c r="K23" s="13"/>
      <c r="L23" s="13"/>
      <c r="M23" s="13">
        <v>0</v>
      </c>
      <c r="N23" s="13">
        <v>0</v>
      </c>
      <c r="O23" s="13"/>
      <c r="P23" s="13"/>
      <c r="Q23" s="13"/>
      <c r="R23" s="13"/>
      <c r="S23" s="13"/>
      <c r="T23" s="13">
        <v>0</v>
      </c>
      <c r="U23" s="13">
        <v>0</v>
      </c>
      <c r="V23" s="13"/>
      <c r="W23" s="13">
        <v>0</v>
      </c>
      <c r="X23" s="13"/>
      <c r="Y23" s="13">
        <v>0</v>
      </c>
      <c r="Z23" s="13"/>
      <c r="AA23" s="13"/>
      <c r="AB23" s="13"/>
      <c r="AC23" s="13"/>
      <c r="AD23" s="13"/>
      <c r="AE23" s="13"/>
      <c r="AF23" s="13"/>
      <c r="AG23" s="13">
        <v>0</v>
      </c>
      <c r="AH23" s="13">
        <v>0</v>
      </c>
      <c r="AI23" s="13"/>
      <c r="AJ23" s="13"/>
      <c r="AK23" s="13">
        <v>0</v>
      </c>
      <c r="AL23" s="13"/>
      <c r="AM23" s="13"/>
      <c r="AN23" s="13"/>
      <c r="AO23" s="13">
        <v>0</v>
      </c>
      <c r="AP23" s="13"/>
      <c r="AQ23" s="13"/>
      <c r="AR23" s="13"/>
      <c r="AS23" s="13">
        <v>0</v>
      </c>
      <c r="AT23" s="13"/>
      <c r="AU23" s="13"/>
      <c r="AV23" s="13"/>
      <c r="AW23" s="13"/>
      <c r="AX23" s="13"/>
      <c r="AY23" s="13"/>
      <c r="AZ23" s="13">
        <v>0</v>
      </c>
      <c r="BA23" s="13">
        <v>0</v>
      </c>
      <c r="BB23" s="13"/>
      <c r="BC23" s="13">
        <v>0</v>
      </c>
      <c r="BD23" s="13">
        <v>0</v>
      </c>
      <c r="BE23" s="13">
        <v>0</v>
      </c>
      <c r="BF23" s="13"/>
      <c r="BG23" s="13"/>
      <c r="BH23" s="13">
        <f>SUM(J23:BG23)</f>
        <v>0</v>
      </c>
    </row>
    <row r="24" spans="1:60">
      <c r="A24" s="14" t="s">
        <v>54</v>
      </c>
      <c r="B24" s="29" t="s">
        <v>55</v>
      </c>
      <c r="C24" s="30" t="s">
        <v>44</v>
      </c>
      <c r="D24" s="18">
        <v>40000000</v>
      </c>
      <c r="E24" s="18">
        <v>0</v>
      </c>
      <c r="F24" s="18"/>
      <c r="G24" s="18">
        <f>+(F24+D24)*E24</f>
        <v>0</v>
      </c>
      <c r="H24" s="17">
        <v>0</v>
      </c>
      <c r="I24" s="19">
        <f>+H24*E24</f>
        <v>0</v>
      </c>
      <c r="J24" s="13">
        <v>0</v>
      </c>
      <c r="K24" s="13">
        <v>0</v>
      </c>
      <c r="L24" s="13"/>
      <c r="M24" s="13">
        <v>0</v>
      </c>
      <c r="N24" s="13">
        <v>0</v>
      </c>
      <c r="O24" s="13"/>
      <c r="P24" s="13"/>
      <c r="Q24" s="13"/>
      <c r="R24" s="13"/>
      <c r="S24" s="13"/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/>
      <c r="BH24" s="13">
        <f>SUM(J24:BG24)</f>
        <v>0</v>
      </c>
    </row>
    <row r="25" spans="1:60">
      <c r="A25" s="14" t="s">
        <v>56</v>
      </c>
      <c r="B25" s="15" t="s">
        <v>57</v>
      </c>
      <c r="C25" s="30"/>
      <c r="D25" s="30"/>
      <c r="E25" s="18">
        <v>0</v>
      </c>
      <c r="F25" s="18"/>
      <c r="G25" s="18">
        <f>+F25+D25</f>
        <v>0</v>
      </c>
      <c r="H25" s="17">
        <v>0</v>
      </c>
      <c r="I25" s="19">
        <f>+H25*E25</f>
        <v>0</v>
      </c>
      <c r="J25" s="13">
        <v>0</v>
      </c>
      <c r="K25" s="13">
        <v>0</v>
      </c>
      <c r="L25" s="13"/>
      <c r="M25" s="13">
        <v>0</v>
      </c>
      <c r="N25" s="13">
        <v>0</v>
      </c>
      <c r="O25" s="13"/>
      <c r="P25" s="13"/>
      <c r="Q25" s="13"/>
      <c r="R25" s="13"/>
      <c r="S25" s="13"/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/>
      <c r="AQ25" s="13"/>
      <c r="AR25" s="13"/>
      <c r="AS25" s="13">
        <v>0</v>
      </c>
      <c r="AT25" s="13"/>
      <c r="AU25" s="13"/>
      <c r="AV25" s="13"/>
      <c r="AW25" s="13"/>
      <c r="AX25" s="13"/>
      <c r="AY25" s="13"/>
      <c r="AZ25" s="13">
        <v>0</v>
      </c>
      <c r="BA25" s="13">
        <v>0</v>
      </c>
      <c r="BB25" s="13"/>
      <c r="BC25" s="13">
        <v>0</v>
      </c>
      <c r="BD25" s="13">
        <v>0</v>
      </c>
      <c r="BE25" s="13">
        <v>0</v>
      </c>
      <c r="BF25" s="13"/>
      <c r="BG25" s="13"/>
      <c r="BH25" s="13">
        <f>SUM(J25:BG25)</f>
        <v>0</v>
      </c>
    </row>
    <row r="26" spans="1:60">
      <c r="A26" s="20">
        <v>7</v>
      </c>
      <c r="B26" s="9" t="s">
        <v>58</v>
      </c>
      <c r="C26" s="31"/>
      <c r="D26" s="31"/>
      <c r="E26" s="32"/>
      <c r="F26" s="32"/>
      <c r="G26" s="32"/>
      <c r="H26" s="17">
        <v>0</v>
      </c>
      <c r="I26" s="19">
        <f>+H26*E26</f>
        <v>0</v>
      </c>
      <c r="J26" s="13"/>
      <c r="K26" s="13"/>
      <c r="L26" s="13"/>
      <c r="M26" s="13">
        <v>0</v>
      </c>
      <c r="N26" s="13">
        <v>0</v>
      </c>
      <c r="O26" s="13"/>
      <c r="P26" s="13"/>
      <c r="Q26" s="13"/>
      <c r="R26" s="13"/>
      <c r="S26" s="13"/>
      <c r="T26" s="13">
        <v>0</v>
      </c>
      <c r="U26" s="13">
        <v>0</v>
      </c>
      <c r="V26" s="13"/>
      <c r="W26" s="13">
        <v>0</v>
      </c>
      <c r="X26" s="13"/>
      <c r="Y26" s="13">
        <v>0</v>
      </c>
      <c r="Z26" s="13"/>
      <c r="AA26" s="13"/>
      <c r="AB26" s="13"/>
      <c r="AC26" s="13"/>
      <c r="AD26" s="13"/>
      <c r="AE26" s="13"/>
      <c r="AF26" s="13"/>
      <c r="AG26" s="13">
        <v>0</v>
      </c>
      <c r="AH26" s="13">
        <v>0</v>
      </c>
      <c r="AI26" s="13"/>
      <c r="AJ26" s="13"/>
      <c r="AK26" s="13">
        <v>0</v>
      </c>
      <c r="AL26" s="13"/>
      <c r="AM26" s="13"/>
      <c r="AN26" s="13"/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/>
      <c r="BG26" s="13"/>
      <c r="BH26" s="13">
        <f>SUM(J26:BG26)</f>
        <v>0</v>
      </c>
    </row>
    <row r="27" spans="1:60">
      <c r="A27" s="14" t="s">
        <v>59</v>
      </c>
      <c r="B27" s="29" t="s">
        <v>60</v>
      </c>
      <c r="C27" s="16" t="s">
        <v>44</v>
      </c>
      <c r="D27" s="33">
        <v>1</v>
      </c>
      <c r="E27" s="33">
        <v>24580209</v>
      </c>
      <c r="F27" s="33"/>
      <c r="G27" s="18">
        <f>+(F27+D27)*E27</f>
        <v>24580209</v>
      </c>
      <c r="H27" s="17">
        <v>26629619</v>
      </c>
      <c r="I27" s="19">
        <f>+H27</f>
        <v>26629619</v>
      </c>
      <c r="J27" s="13">
        <v>0</v>
      </c>
      <c r="K27" s="13">
        <v>0</v>
      </c>
      <c r="L27" s="13"/>
      <c r="M27" s="13">
        <v>0</v>
      </c>
      <c r="N27" s="13">
        <v>0</v>
      </c>
      <c r="O27" s="13"/>
      <c r="P27" s="13"/>
      <c r="Q27" s="13"/>
      <c r="R27" s="13"/>
      <c r="S27" s="13"/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/>
      <c r="AQ27" s="13"/>
      <c r="AR27" s="13"/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/>
      <c r="BG27" s="13"/>
      <c r="BH27" s="13">
        <f>SUM(J27:BG27)</f>
        <v>0</v>
      </c>
    </row>
    <row r="28" spans="1:60">
      <c r="A28" s="20">
        <v>8</v>
      </c>
      <c r="B28" s="9" t="s">
        <v>61</v>
      </c>
      <c r="C28" s="31"/>
      <c r="D28" s="31"/>
      <c r="E28" s="32"/>
      <c r="F28" s="32"/>
      <c r="G28" s="32"/>
      <c r="H28" s="17"/>
      <c r="I28" s="19"/>
      <c r="J28" s="13"/>
      <c r="K28" s="13"/>
      <c r="L28" s="13"/>
      <c r="M28" s="13">
        <v>0</v>
      </c>
      <c r="N28" s="13">
        <v>0</v>
      </c>
      <c r="O28" s="13"/>
      <c r="P28" s="13"/>
      <c r="Q28" s="13"/>
      <c r="R28" s="13"/>
      <c r="S28" s="13"/>
      <c r="T28" s="13">
        <v>0</v>
      </c>
      <c r="U28" s="13">
        <v>0</v>
      </c>
      <c r="V28" s="13">
        <v>0</v>
      </c>
      <c r="W28" s="13"/>
      <c r="X28" s="13"/>
      <c r="Y28" s="13">
        <v>0</v>
      </c>
      <c r="Z28" s="13"/>
      <c r="AA28" s="13"/>
      <c r="AB28" s="13"/>
      <c r="AC28" s="13"/>
      <c r="AD28" s="13"/>
      <c r="AE28" s="13"/>
      <c r="AF28" s="13"/>
      <c r="AG28" s="13">
        <v>0</v>
      </c>
      <c r="AH28" s="13">
        <v>0</v>
      </c>
      <c r="AI28" s="13"/>
      <c r="AJ28" s="13"/>
      <c r="AK28" s="13">
        <v>0</v>
      </c>
      <c r="AL28" s="13"/>
      <c r="AM28" s="13"/>
      <c r="AN28" s="13"/>
      <c r="AO28" s="13">
        <v>0</v>
      </c>
      <c r="AP28" s="13"/>
      <c r="AQ28" s="13"/>
      <c r="AR28" s="13"/>
      <c r="AS28" s="13">
        <v>0</v>
      </c>
      <c r="AT28" s="13"/>
      <c r="AU28" s="13"/>
      <c r="AV28" s="13"/>
      <c r="AW28" s="13"/>
      <c r="AX28" s="13"/>
      <c r="AY28" s="13"/>
      <c r="AZ28" s="13">
        <v>0</v>
      </c>
      <c r="BA28" s="13">
        <v>0</v>
      </c>
      <c r="BB28" s="13"/>
      <c r="BC28" s="13">
        <v>0</v>
      </c>
      <c r="BD28" s="13">
        <v>0</v>
      </c>
      <c r="BE28" s="13">
        <v>0</v>
      </c>
      <c r="BF28" s="13"/>
      <c r="BG28" s="13"/>
      <c r="BH28" s="13">
        <f>SUM(J28:BG28)</f>
        <v>0</v>
      </c>
    </row>
    <row r="29" spans="1:60">
      <c r="A29" s="14"/>
      <c r="B29" s="29" t="s">
        <v>62</v>
      </c>
      <c r="C29" s="16" t="s">
        <v>44</v>
      </c>
      <c r="D29" s="33">
        <v>0</v>
      </c>
      <c r="E29" s="33">
        <v>1</v>
      </c>
      <c r="F29" s="33">
        <v>26629619</v>
      </c>
      <c r="G29" s="18">
        <f>+(F29+D29)*E29</f>
        <v>26629619</v>
      </c>
      <c r="H29" s="17"/>
      <c r="I29" s="19"/>
      <c r="J29" s="13"/>
      <c r="K29" s="13"/>
      <c r="L29" s="13"/>
      <c r="M29" s="13">
        <v>0</v>
      </c>
      <c r="N29" s="13">
        <v>0</v>
      </c>
      <c r="O29" s="13"/>
      <c r="P29" s="13"/>
      <c r="Q29" s="13"/>
      <c r="R29" s="13"/>
      <c r="S29" s="13"/>
      <c r="T29" s="13">
        <v>0</v>
      </c>
      <c r="U29" s="13">
        <v>0</v>
      </c>
      <c r="V29" s="13">
        <v>0</v>
      </c>
      <c r="W29" s="13"/>
      <c r="X29" s="13"/>
      <c r="Y29" s="13">
        <v>0</v>
      </c>
      <c r="Z29" s="13"/>
      <c r="AA29" s="13"/>
      <c r="AB29" s="13"/>
      <c r="AC29" s="13"/>
      <c r="AD29" s="13"/>
      <c r="AE29" s="13"/>
      <c r="AF29" s="13"/>
      <c r="AG29" s="13">
        <v>0</v>
      </c>
      <c r="AH29" s="13">
        <v>0</v>
      </c>
      <c r="AI29" s="13"/>
      <c r="AJ29" s="13"/>
      <c r="AK29" s="13">
        <v>0</v>
      </c>
      <c r="AL29" s="13"/>
      <c r="AM29" s="13"/>
      <c r="AN29" s="13"/>
      <c r="AO29" s="13">
        <v>0</v>
      </c>
      <c r="AP29" s="13"/>
      <c r="AQ29" s="13"/>
      <c r="AR29" s="13"/>
      <c r="AS29" s="13">
        <v>0</v>
      </c>
      <c r="AT29" s="13"/>
      <c r="AU29" s="13"/>
      <c r="AV29" s="13"/>
      <c r="AW29" s="13"/>
      <c r="AX29" s="13"/>
      <c r="AY29" s="13"/>
      <c r="AZ29" s="13">
        <v>0</v>
      </c>
      <c r="BA29" s="13">
        <v>0</v>
      </c>
      <c r="BB29" s="13"/>
      <c r="BC29" s="13">
        <v>0</v>
      </c>
      <c r="BD29" s="13">
        <v>0</v>
      </c>
      <c r="BE29" s="13">
        <v>0</v>
      </c>
      <c r="BF29" s="13"/>
      <c r="BG29" s="13"/>
      <c r="BH29" s="13">
        <f>SUM(J29:BG29)</f>
        <v>0</v>
      </c>
    </row>
    <row r="30" spans="1:60">
      <c r="A30" s="34"/>
      <c r="B30" s="35"/>
      <c r="C30" s="34"/>
      <c r="D30" s="34"/>
      <c r="E30" s="35"/>
      <c r="F30" s="35"/>
      <c r="G30" s="35"/>
      <c r="H30" s="17"/>
      <c r="I30" s="19"/>
      <c r="J30" s="13"/>
      <c r="K30" s="13"/>
      <c r="L30" s="13"/>
      <c r="M30" s="13">
        <v>0</v>
      </c>
      <c r="N30" s="13">
        <v>0</v>
      </c>
      <c r="O30" s="13"/>
      <c r="P30" s="13"/>
      <c r="Q30" s="13"/>
      <c r="R30" s="13"/>
      <c r="S30" s="13"/>
      <c r="T30" s="13">
        <v>0</v>
      </c>
      <c r="U30" s="13">
        <v>0</v>
      </c>
      <c r="V30" s="13">
        <v>0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>
        <v>0</v>
      </c>
      <c r="AI30" s="13"/>
      <c r="AJ30" s="13"/>
      <c r="AK30" s="13">
        <v>0</v>
      </c>
      <c r="AL30" s="13"/>
      <c r="AM30" s="13"/>
      <c r="AN30" s="13"/>
      <c r="AO30" s="13">
        <v>0</v>
      </c>
      <c r="AP30" s="13"/>
      <c r="AQ30" s="13"/>
      <c r="AR30" s="13"/>
      <c r="AS30" s="13">
        <v>0</v>
      </c>
      <c r="AT30" s="13"/>
      <c r="AU30" s="13"/>
      <c r="AV30" s="13"/>
      <c r="AW30" s="13"/>
      <c r="AX30" s="13"/>
      <c r="AY30" s="13"/>
      <c r="AZ30" s="13">
        <v>0</v>
      </c>
      <c r="BA30" s="13">
        <v>0</v>
      </c>
      <c r="BB30" s="13"/>
      <c r="BC30" s="13">
        <v>0</v>
      </c>
      <c r="BD30" s="13">
        <v>0</v>
      </c>
      <c r="BE30" s="13">
        <v>0</v>
      </c>
      <c r="BF30" s="13"/>
      <c r="BG30" s="13"/>
      <c r="BH30" s="13">
        <f>SUM(J30:BG30)</f>
        <v>0</v>
      </c>
    </row>
    <row r="31" spans="1:60">
      <c r="A31" s="36"/>
      <c r="B31" s="36"/>
      <c r="C31" s="36"/>
      <c r="D31" s="36"/>
      <c r="E31" s="33">
        <f>+SUMPRODUCT(D3:D29,E3:E29)</f>
        <v>3376283507</v>
      </c>
      <c r="F31" s="33">
        <f>+SUM(F3:F29)</f>
        <v>26629619</v>
      </c>
      <c r="G31" s="33">
        <f>+SUM(G3:G29)</f>
        <v>3402913126</v>
      </c>
      <c r="H31" s="17"/>
      <c r="I31" s="19">
        <f>SUM(I3:I30)</f>
        <v>4033985426</v>
      </c>
      <c r="J31" s="22">
        <v>9793669</v>
      </c>
      <c r="K31" s="22">
        <v>9344213</v>
      </c>
      <c r="L31" s="22">
        <v>70365522</v>
      </c>
      <c r="M31" s="23">
        <v>502846556.69999999</v>
      </c>
      <c r="N31" s="22">
        <v>220861573.89999998</v>
      </c>
      <c r="O31" s="22">
        <v>1869985.6</v>
      </c>
      <c r="P31" s="22">
        <v>5330609.3</v>
      </c>
      <c r="Q31" s="22">
        <v>580868793.39999998</v>
      </c>
      <c r="R31" s="22">
        <v>128703733</v>
      </c>
      <c r="S31" s="22">
        <v>5503727</v>
      </c>
      <c r="T31" s="22">
        <v>11093072.699999999</v>
      </c>
      <c r="U31" s="22">
        <v>2386818.2999999998</v>
      </c>
      <c r="V31" s="22">
        <v>1648247</v>
      </c>
      <c r="W31" s="22">
        <v>39139078.630000003</v>
      </c>
      <c r="X31" s="22">
        <v>844721</v>
      </c>
      <c r="Y31" s="22">
        <v>1782873.7</v>
      </c>
      <c r="Z31" s="22">
        <v>17078370.699999999</v>
      </c>
      <c r="AA31" s="22">
        <v>7019853.2999999998</v>
      </c>
      <c r="AB31" s="22">
        <v>3263716.7</v>
      </c>
      <c r="AC31" s="22">
        <v>6106374</v>
      </c>
      <c r="AD31" s="22">
        <v>8047694.2999999998</v>
      </c>
      <c r="AE31" s="22">
        <v>11893468</v>
      </c>
      <c r="AF31" s="22">
        <v>10058882.300000001</v>
      </c>
      <c r="AG31" s="22">
        <v>3680445.6999999997</v>
      </c>
      <c r="AH31" s="22">
        <v>42873135.299999997</v>
      </c>
      <c r="AI31" s="22">
        <v>65980267.649999999</v>
      </c>
      <c r="AJ31" s="22">
        <v>9740157</v>
      </c>
      <c r="AK31" s="22">
        <v>197482449</v>
      </c>
      <c r="AL31" s="22">
        <v>4628996.5999999996</v>
      </c>
      <c r="AM31" s="22">
        <v>2087469.7</v>
      </c>
      <c r="AN31" s="22">
        <v>1338630.3</v>
      </c>
      <c r="AO31" s="22">
        <v>16826713.969999999</v>
      </c>
      <c r="AP31" s="22">
        <v>3403519</v>
      </c>
      <c r="AQ31" s="22">
        <v>2828820.3</v>
      </c>
      <c r="AR31" s="22">
        <v>7928133.7000000002</v>
      </c>
      <c r="AS31" s="22">
        <v>202143221.30000001</v>
      </c>
      <c r="AT31" s="22">
        <v>7928133.7000000002</v>
      </c>
      <c r="AU31" s="22">
        <v>25827004</v>
      </c>
      <c r="AV31" s="22">
        <v>971897.3</v>
      </c>
      <c r="AW31" s="22">
        <v>4985122.7</v>
      </c>
      <c r="AX31" s="22">
        <v>12307888</v>
      </c>
      <c r="AY31" s="22">
        <v>2153865.7000000002</v>
      </c>
      <c r="AZ31" s="22">
        <v>14303755.73</v>
      </c>
      <c r="BA31" s="22">
        <v>34029419.030000001</v>
      </c>
      <c r="BB31" s="22">
        <v>2435093.2999999998</v>
      </c>
      <c r="BC31" s="22">
        <v>5057357.9700000007</v>
      </c>
      <c r="BD31" s="22">
        <v>128846343.97000001</v>
      </c>
      <c r="BE31" s="22">
        <v>8234670.1500000004</v>
      </c>
      <c r="BF31" s="22">
        <v>3750383.7</v>
      </c>
      <c r="BG31" s="13"/>
      <c r="BH31" s="41">
        <f>SUM(J31:BG31)</f>
        <v>2467624448.2999997</v>
      </c>
    </row>
    <row r="32" spans="1:60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</row>
    <row r="33" spans="1:60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</row>
    <row r="34" spans="1:60">
      <c r="A34" s="12"/>
      <c r="B34" s="12"/>
      <c r="C34" s="12"/>
      <c r="D34" s="12"/>
      <c r="E34" s="12"/>
      <c r="F34" s="12"/>
      <c r="G34" s="12"/>
      <c r="H34" s="12"/>
      <c r="I34" s="12"/>
      <c r="J34" s="37"/>
      <c r="K34" s="12" t="s">
        <v>114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38"/>
    </row>
    <row r="35" spans="1:60">
      <c r="A35" s="12"/>
      <c r="B35" s="12"/>
      <c r="C35" s="12"/>
      <c r="D35" s="12"/>
      <c r="E35" s="12"/>
      <c r="F35" s="12"/>
      <c r="G35" s="12"/>
      <c r="H35" s="12"/>
      <c r="I35" s="12"/>
      <c r="J35" s="39"/>
      <c r="K35" s="12" t="s">
        <v>115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</row>
    <row r="36" spans="1:60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</row>
    <row r="37" spans="1:60">
      <c r="A37" s="12"/>
      <c r="B37" s="12"/>
      <c r="C37" s="12"/>
      <c r="D37" s="12"/>
      <c r="E37" s="12"/>
      <c r="F37" s="12"/>
      <c r="G37" s="12"/>
      <c r="H37" s="12"/>
      <c r="I37" s="12"/>
      <c r="J37" s="40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</row>
    <row r="38" spans="1:60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</row>
    <row r="39" spans="1:60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</row>
  </sheetData>
  <phoneticPr fontId="4" type="noConversion"/>
  <pageMargins left="0.7" right="0.7" top="0.75" bottom="0.75" header="0.3" footer="0.3"/>
  <pageSetup scale="13" orientation="portrait" horizontalDpi="4294967292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2025-10-22T18:58:31Z</dcterms:created>
  <dcterms:modified xsi:type="dcterms:W3CDTF">2025-11-11T19:43:27Z</dcterms:modified>
</cp:coreProperties>
</file>